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F\Desktop\"/>
    </mc:Choice>
  </mc:AlternateContent>
  <xr:revisionPtr revIDLastSave="0" documentId="8_{6C23147D-89F5-4903-B1BA-150BCD7E7D84}" xr6:coauthVersionLast="47" xr6:coauthVersionMax="47" xr10:uidLastSave="{00000000-0000-0000-0000-000000000000}"/>
  <bookViews>
    <workbookView xWindow="-120" yWindow="-120" windowWidth="29040" windowHeight="15840" xr2:uid="{3F7FDBB8-480C-45C4-9942-71D59A7EEB85}"/>
  </bookViews>
  <sheets>
    <sheet name="25.3" sheetId="1" r:id="rId1"/>
  </sheets>
  <externalReferences>
    <externalReference r:id="rId2"/>
    <externalReference r:id="rId3"/>
    <externalReference r:id="rId4"/>
  </externalReferences>
  <definedNames>
    <definedName name="\p" localSheetId="0">#REF!</definedName>
    <definedName name="\p">#REF!</definedName>
    <definedName name="\w" localSheetId="0">#REF!</definedName>
    <definedName name="\w">#REF!</definedName>
    <definedName name="_" localSheetId="0">#N/A</definedName>
    <definedName name="_">'[2]#REF!'!$A$1:$E$46</definedName>
    <definedName name="_1" localSheetId="0">#N/A</definedName>
    <definedName name="_1">'[2]#REF!'!$A$1:$Y$445</definedName>
    <definedName name="_1铁轨_净水房用">'[2]#REF!'!$A$2:$G$94</definedName>
    <definedName name="_2" localSheetId="0">#N/A</definedName>
    <definedName name="_2">'[2]#REF!'!$A$1:$F$54</definedName>
    <definedName name="_3" localSheetId="0">#N/A</definedName>
    <definedName name="_3">'[2]#REF!'!$A$1:$F$93</definedName>
    <definedName name="_4" localSheetId="0">#N/A</definedName>
    <definedName name="_4">'[2]#REF!'!$A$1:$F$67</definedName>
    <definedName name="_5" localSheetId="0">#N/A</definedName>
    <definedName name="_5">'[2]#REF!'!$A$1:$F$17</definedName>
    <definedName name="_6" localSheetId="0">#N/A</definedName>
    <definedName name="_6">'[2]#REF!'!$A$2:$F$39</definedName>
    <definedName name="_7" localSheetId="0">#N/A</definedName>
    <definedName name="_7">'[2]#REF!'!$A$1:$F$60</definedName>
    <definedName name="_8" localSheetId="0">#N/A</definedName>
    <definedName name="_8">'[2]#REF!'!$A$1:$F$3</definedName>
    <definedName name="_9" localSheetId="0">#N/A</definedName>
    <definedName name="_9">'[2]#REF!'!$A$1:$F$96</definedName>
    <definedName name="_xlnm._FilterDatabase" localSheetId="0" hidden="1">'25.3'!$A$2:$IG$45</definedName>
    <definedName name="_部" localSheetId="0">#N/A</definedName>
    <definedName name="_部">'[2]#REF!'!$A$2:$G$30</definedName>
    <definedName name="_部入" localSheetId="0">#N/A</definedName>
    <definedName name="_部入">'[2]#REF!'!$A$2:$G$60</definedName>
    <definedName name="_部入库" localSheetId="0">#N/A</definedName>
    <definedName name="_部入库">'[3]#REF!'!$A$2:$G$38</definedName>
    <definedName name="_出1" localSheetId="0">#N/A</definedName>
    <definedName name="_出1">'[3]#REF!'!$A$2:$G$19</definedName>
    <definedName name="_月" localSheetId="0">#N/A</definedName>
    <definedName name="_月">'[2]#REF!'!$A$2:$G$69</definedName>
    <definedName name="AAA" localSheetId="0">#REF!</definedName>
    <definedName name="AAA">#REF!</definedName>
    <definedName name="AB" localSheetId="0">#REF!</definedName>
    <definedName name="AB">#REF!</definedName>
    <definedName name="BBB" localSheetId="0">#REF!</definedName>
    <definedName name="BBB">#REF!</definedName>
    <definedName name="BM" localSheetId="0">#N/A</definedName>
    <definedName name="BM">'[2]#REF!'!$A$1:$Y$361</definedName>
    <definedName name="CC" localSheetId="0">#REF!</definedName>
    <definedName name="CC">#REF!</definedName>
    <definedName name="chu" localSheetId="0">#N/A</definedName>
    <definedName name="chu">'[3]#REF!'!$A$2:$Y$107</definedName>
    <definedName name="dd" localSheetId="0">#N/A</definedName>
    <definedName name="FFF" localSheetId="0">#REF!</definedName>
    <definedName name="FFF">#REF!</definedName>
    <definedName name="hou" localSheetId="0">#N/A</definedName>
    <definedName name="hou">'[3]#REF!'!$A$2:$G$5</definedName>
    <definedName name="huang" localSheetId="0">#N/A</definedName>
    <definedName name="huang">'[3]#REF!'!$A$2:$G$10</definedName>
    <definedName name="_xlnm.Print_Area" localSheetId="0">'25.3'!$N$28:$O$46</definedName>
    <definedName name="REDATA2" localSheetId="0">#REF!</definedName>
    <definedName name="REDATA2">#REF!</definedName>
    <definedName name="REDATA4" localSheetId="0">#REF!</definedName>
    <definedName name="REDATA4">#REF!</definedName>
    <definedName name="REDATA5" localSheetId="0">#REF!</definedName>
    <definedName name="REDATA5">#REF!</definedName>
    <definedName name="REDATA6" localSheetId="0">#REF!</definedName>
    <definedName name="REDATA6">#REF!</definedName>
    <definedName name="TOPMENU6" localSheetId="0">#REF!</definedName>
    <definedName name="TOPMENU6">#REF!</definedName>
    <definedName name="UFPrn20050531141650" localSheetId="0">#N/A</definedName>
    <definedName name="UFPrn20050531141650">'[2]#REF!'!$A$3:$L$9</definedName>
    <definedName name="UFPrn20050607144819" localSheetId="0">#N/A</definedName>
    <definedName name="UFPrn20050607144819">'[2]#REF!'!$A$3:$R$1101</definedName>
    <definedName name="UFPrn20050607152829" localSheetId="0">#N/A</definedName>
    <definedName name="UFPrn20050607152829">'[2]#REF!'!$A$3:$R$477</definedName>
    <definedName name="UFPrn20050802105002" localSheetId="0">#N/A</definedName>
    <definedName name="UFPrn20050802105002">'[2]#REF!'!$A$3:$R$413</definedName>
    <definedName name="UFPrn20060929150223" localSheetId="0">#N/A</definedName>
    <definedName name="UFPrn20060929150223">'[2]#REF!'!$A$1:$J$316</definedName>
    <definedName name="UFPrn20060929150453" localSheetId="0">#N/A</definedName>
    <definedName name="UFPrn20060929150453">'[2]#REF!'!$A$1:$J$162</definedName>
    <definedName name="UFPrn20060929150521" localSheetId="0">#N/A</definedName>
    <definedName name="UFPrn20060929150521">'[2]#REF!'!$A$1:$J$133</definedName>
    <definedName name="UFPrn20060929150541" localSheetId="0">#N/A</definedName>
    <definedName name="UFPrn20060929150541">'[2]#REF!'!$A$1:$I$73</definedName>
    <definedName name="UFPrn20060929150603" localSheetId="0">#N/A</definedName>
    <definedName name="UFPrn20060929150603">'[2]#REF!'!$A$1:$I$81</definedName>
    <definedName name="UFPrn20060929150630" localSheetId="0">#N/A</definedName>
    <definedName name="UFPrn20060929150630">'[2]#REF!'!$A$1:$J$113</definedName>
    <definedName name="UFPrn20060929150648" localSheetId="0">#N/A</definedName>
    <definedName name="UFPrn20060929150648">'[2]#REF!'!$A$1:$I$19</definedName>
    <definedName name="UFPrn20060929150930" localSheetId="0">#N/A</definedName>
    <definedName name="UFPrn20060929150930">'[2]#REF!'!$A$1:$AA$479</definedName>
    <definedName name="UFPrn20060929151136" localSheetId="0">#N/A</definedName>
    <definedName name="UFPrn20060929151136">'[2]#REF!'!$A$2:$G$85</definedName>
    <definedName name="UFPrn20061017160302" localSheetId="0">#N/A</definedName>
    <definedName name="UFPrn20061017160302">'[2]#REF!'!$A$3:$Q$488</definedName>
    <definedName name="UFPrn20061102090932" localSheetId="0">#N/A</definedName>
    <definedName name="UFPrn20061102090932">'[2]#REF!'!$A$2:$S$572</definedName>
    <definedName name="UFPrn20061102134032" localSheetId="0">#N/A</definedName>
    <definedName name="UFPrn20061102134032">'[2]#REF!'!$A$1:$T$294</definedName>
    <definedName name="UFPrn20061202083656" localSheetId="0">#N/A</definedName>
    <definedName name="UFPrn20061202083656">'[2]#REF!'!$A$3:$AB$508</definedName>
    <definedName name="UFPrn20061230140642" localSheetId="0">#N/A</definedName>
    <definedName name="UFPrn20061230140642">'[2]#REF!'!$A$1:$I$7</definedName>
    <definedName name="UFPrn20070118090427" localSheetId="0">#N/A</definedName>
    <definedName name="UFPrn20070118090427">'[2]#REF!'!$A$1:$G$477</definedName>
    <definedName name="UFPrn20070131100102" localSheetId="0">#N/A</definedName>
    <definedName name="UFPrn20070131100102">'[2]#REF!'!$A$3:$F$109</definedName>
    <definedName name="UFPrn20070202131258" localSheetId="0">#N/A</definedName>
    <definedName name="UFPrn20070202131258">'[2]#REF!'!$A$3:$F$16</definedName>
    <definedName name="UFPrn20070228171209" localSheetId="0">#N/A</definedName>
    <definedName name="UFPrn20070228171209">'[2]#REF!'!$A$3:$V$312</definedName>
    <definedName name="UFPrn20070405172307" localSheetId="0">#N/A</definedName>
    <definedName name="UFPrn20070405172307">'[2]#REF!'!$A$2:$AI$2849</definedName>
    <definedName name="UFPrn20070428112442" localSheetId="0">#N/A</definedName>
    <definedName name="UFPrn20070428112442">'[2]#REF!'!$A$2:$Y$2808</definedName>
    <definedName name="UFPrn20070604090741" localSheetId="0">#N/A</definedName>
    <definedName name="UFPrn20070604090741">'[2]#REF!'!$A$2:$Y$2844</definedName>
    <definedName name="UFPrn20070629151108" localSheetId="0">#N/A</definedName>
    <definedName name="UFPrn20070629151108">'[2]#REF!'!$A$3:$AB$477</definedName>
    <definedName name="UFPrn20070904124116" localSheetId="0">#N/A</definedName>
    <definedName name="UFPrn20070904124116">'[2]#REF!'!$A$3:$AA$490</definedName>
    <definedName name="UFPrn20070904124818" localSheetId="0">#N/A</definedName>
    <definedName name="UFPrn20070904124818">'[2]#REF!'!$A$3:$AB$558</definedName>
    <definedName name="UFPrn20071004162622" localSheetId="0">#N/A</definedName>
    <definedName name="UFPrn20071004162622">'[2]#REF!'!$A$2:$R$2422</definedName>
    <definedName name="UFPrn20071102142147" localSheetId="0">#N/A</definedName>
    <definedName name="UFPrn20071102142147">'[2]#REF!'!$A$3:$AB$382</definedName>
    <definedName name="UFPrn20071203140901" localSheetId="0">#N/A</definedName>
    <definedName name="UFPrn20071203140901">'[2]#REF!'!$A$1:$AB$352</definedName>
    <definedName name="UFPrn20080102113415" localSheetId="0">#N/A</definedName>
    <definedName name="UFPrn20080102113415">'[2]#REF!'!$A$1:$AB$388</definedName>
    <definedName name="UFPrn20080201134016" localSheetId="0">#N/A</definedName>
    <definedName name="UFPrn20080201134016">'[2]#REF!'!$A$2:$Y$320</definedName>
    <definedName name="UFPrn20080202145236" localSheetId="0">#N/A</definedName>
    <definedName name="UFPrn20080202145236">'[2]#REF!'!$A$2:$L$375</definedName>
    <definedName name="UFPrn20080203093809" localSheetId="0">#N/A</definedName>
    <definedName name="UFPrn20080203093809">'[2]#REF!'!$A$1:$G$2261</definedName>
    <definedName name="UFPrn20080203144136" localSheetId="0">#N/A</definedName>
    <definedName name="UFPrn20080203144136">'[2]#REF!'!$A$2:$AB$54</definedName>
    <definedName name="UFPrn20080215143657" localSheetId="0">#N/A</definedName>
    <definedName name="UFPrn20080215143657">'[3]#REF!'!$A$2:$Y$86</definedName>
    <definedName name="UFPrn20080222161927" localSheetId="0">#N/A</definedName>
    <definedName name="UFPrn20080222161927">'[3]#REF!'!$A$1:$R$155</definedName>
    <definedName name="UFPrn20080222162206" localSheetId="0">#N/A</definedName>
    <definedName name="UFPrn20080222162206">'[3]#REF!'!$A$2:$Y$156</definedName>
    <definedName name="UFPrn20080222162233" localSheetId="0">#N/A</definedName>
    <definedName name="UFPrn20080222162233">'[3]#REF!'!$A$1:$AB$155</definedName>
    <definedName name="UFPrn20080229143917" localSheetId="0">#N/A</definedName>
    <definedName name="UFPrn20080229143917">'[2]#REF!'!$A$2:$Y$277</definedName>
    <definedName name="UFPrn20080307142253" localSheetId="0">#N/A</definedName>
    <definedName name="UFPrn20080307142253">'[3]#REF!'!$A$1:$T$124</definedName>
    <definedName name="UFPrn20080307142346" localSheetId="0">#N/A</definedName>
    <definedName name="UFPrn20080307142346">'[3]#REF!'!$A$2:$Y$125</definedName>
    <definedName name="UFPrn20080314142928" localSheetId="0">#N/A</definedName>
    <definedName name="UFPrn20080314142928">'[3]#REF!'!$A$2:$AB$124</definedName>
    <definedName name="UFPrn20080321162825" localSheetId="0">#N/A</definedName>
    <definedName name="UFPrn20080321162825">'[3]#REF!'!$A$2:$AB$166</definedName>
    <definedName name="UFPrn20080401115054" localSheetId="0">#N/A</definedName>
    <definedName name="UFPrn20080401115054">'[2]#REF!'!$A$1:$Z$334</definedName>
    <definedName name="UFPrn20080401163002" localSheetId="0">#N/A</definedName>
    <definedName name="UFPrn20080401163002">'[2]#REF!'!$A$2:$Y$350</definedName>
    <definedName name="UFPrn20080407084416" localSheetId="0">#N/A</definedName>
    <definedName name="UFPrn20080407084416">'[3]#REF!'!$A$2:$G$24</definedName>
    <definedName name="UFPrn20080407084446" localSheetId="0">#N/A</definedName>
    <definedName name="UFPrn20080407084446">'[3]#REF!'!$A$2:$G$9</definedName>
    <definedName name="UFPrn20080407084524" localSheetId="0">#N/A</definedName>
    <definedName name="UFPrn20080407084524">'[3]#REF!'!$A$2:$G$21</definedName>
    <definedName name="UFPrn20080407084712" localSheetId="0">#N/A</definedName>
    <definedName name="UFPrn20080407084712">'[3]#REF!'!$A$2:$Y$138</definedName>
    <definedName name="UFPrn20080411153907" localSheetId="0">#N/A</definedName>
    <definedName name="UFPrn20080411153907">'[3]#REF!'!$A$2:$G$7</definedName>
    <definedName name="UFPrn20080411153941" localSheetId="0">#N/A</definedName>
    <definedName name="UFPrn20080411153941">'[3]#REF!'!$A$2:$G$8</definedName>
    <definedName name="UFPrn20080411154001" localSheetId="0">#N/A</definedName>
    <definedName name="UFPrn20080411154001">'[3]#REF!'!$A$2:$G$13</definedName>
    <definedName name="UFPrn20080411154249" localSheetId="0">#N/A</definedName>
    <definedName name="UFPrn20080411154249">'[3]#REF!'!$A$2:$X$165</definedName>
    <definedName name="UFPrn20080418125920" localSheetId="0">#N/A</definedName>
    <definedName name="UFPrn20080418125920">'[3]#REF!'!$A$2:$G$9</definedName>
    <definedName name="UFPrn20080418125945" localSheetId="0">#N/A</definedName>
    <definedName name="UFPrn20080418125945">'[3]#REF!'!$A$2:$G$21</definedName>
    <definedName name="UFPrn20080418130009" localSheetId="0">#N/A</definedName>
    <definedName name="UFPrn20080418130009">'[3]#REF!'!$A$2:$G$13</definedName>
    <definedName name="UFPrn20080418130846" localSheetId="0">#N/A</definedName>
    <definedName name="UFPrn20080418130846">'[3]#REF!'!$A$2:$Y$140</definedName>
    <definedName name="UFPrn20080429140007" localSheetId="0">#N/A</definedName>
    <definedName name="UFPrn20080429140007">'[3]#REF!'!$A$2:$Y$134</definedName>
    <definedName name="UFPrn20080429140532" localSheetId="0">#N/A</definedName>
    <definedName name="UFPrn20080429140532">'[2]#REF!'!$A$2:$G$23</definedName>
    <definedName name="UFPrn20080429140612" localSheetId="0">#N/A</definedName>
    <definedName name="UFPrn20080429140612">'[2]#REF!'!$A$2:$G$54</definedName>
    <definedName name="UFPrn20080429140635" localSheetId="0">#N/A</definedName>
    <definedName name="UFPrn20080429140635">'[2]#REF!'!$A$2:$G$49</definedName>
    <definedName name="UFPrn20080509141149" localSheetId="0">#N/A</definedName>
    <definedName name="UFPrn20080509141149">'[3]#REF!'!$A$2:$G$42</definedName>
    <definedName name="UFPrn20080516150346" localSheetId="0">#N/A</definedName>
    <definedName name="UFPrn20080516150346">'[3]#REF!'!$A$1:$Y$83</definedName>
    <definedName name="UFPrn20080523145053" localSheetId="0">#N/A</definedName>
    <definedName name="UFPrn20080523145053">'[3]#REF!'!$A$2:$G$7</definedName>
    <definedName name="UFPrn20080602103041" localSheetId="0">#N/A</definedName>
    <definedName name="UFPrn20080602103041">'[2]#REF!'!$A$2:$Y$373</definedName>
    <definedName name="UFPrn20080616085000" localSheetId="0">#N/A</definedName>
    <definedName name="UFPrn20080616085000">'[3]#REF!'!$A$2:$G$8</definedName>
    <definedName name="UFPrn20080702113058" localSheetId="0">#N/A</definedName>
    <definedName name="UFPrn20080702113058">'[3]#REF!'!$A$2:$G$11</definedName>
    <definedName name="UFPrn20080702113204" localSheetId="0">#N/A</definedName>
    <definedName name="UFPrn20080702113204">'[3]#REF!'!$A$2:$G$12</definedName>
    <definedName name="UFPrn20080710090528" localSheetId="0">#N/A</definedName>
    <definedName name="UFPrn20080710090528">'[3]#REF!'!$A$1:$Y$145</definedName>
    <definedName name="UFPrn20080714110150" localSheetId="0">#N/A</definedName>
    <definedName name="UFPrn20080714110150">'[3]#REF!'!$A$2:$G$32</definedName>
    <definedName name="UFPrn20080722093344" localSheetId="0">#N/A</definedName>
    <definedName name="UFPrn20080722093344">'[3]#REF!'!$A$2:$G$11</definedName>
    <definedName name="UFPrn20080730115055" localSheetId="0">#N/A</definedName>
    <definedName name="UFPrn20080730115055">'[3]#REF!'!$A$2:$Y$137</definedName>
    <definedName name="UFPrn20080801132124" localSheetId="0">#N/A</definedName>
    <definedName name="UFPrn20080801132124">'[3]#REF!'!$A$2:$G$7</definedName>
    <definedName name="UFPrn20080809110617" localSheetId="0">#N/A</definedName>
    <definedName name="UFPrn20080809110617">'[3]#REF!'!$A$2:$Y$156</definedName>
    <definedName name="UFPrn20080818105521" localSheetId="0">#N/A</definedName>
    <definedName name="UFPrn20080818105521">'[3]#REF!'!$A$2:$G$16</definedName>
    <definedName name="UFPrn20080822173718" localSheetId="0">#N/A</definedName>
    <definedName name="UFPrn20080822173718">'[3]#REF!'!$A$1:$G$7</definedName>
    <definedName name="UFPrn20080822173817" localSheetId="0">#N/A</definedName>
    <definedName name="UFPrn20080822173817">'[3]#REF!'!$A$1:$AB$107</definedName>
    <definedName name="UFPrn20080825104518" localSheetId="0">#N/A</definedName>
    <definedName name="UFPrn20080825104518">'[3]#REF!'!$A$2:$Y$113</definedName>
    <definedName name="UFPrn20080903132620" localSheetId="0">#N/A</definedName>
    <definedName name="UFPrn20080903132620">'[3]#REF!'!$A$2:$G$18</definedName>
    <definedName name="UFPrn20080912131133" localSheetId="0">#N/A</definedName>
    <definedName name="UFPrn20080912131133">'[3]#REF!'!$A$2:$Y$140</definedName>
    <definedName name="UFPrn20081129112624" localSheetId="0">#N/A</definedName>
    <definedName name="UFPrn20081129112624">'[2]#REF!'!$A$1:$G$60</definedName>
    <definedName name="UFPrn20081129112649" localSheetId="0">#N/A</definedName>
    <definedName name="UFPrn20081129112649">'[2]#REF!'!$A$1:$G$33</definedName>
    <definedName name="UFPrn20081129112717" localSheetId="0">#N/A</definedName>
    <definedName name="UFPrn20081129112717">'[2]#REF!'!$A$1:$G$47</definedName>
    <definedName name="UFPrn20081129112744" localSheetId="0">#N/A</definedName>
    <definedName name="UFPrn20081129112744">'[2]#REF!'!$A$1:$G$34</definedName>
    <definedName name="UFPrn20081129112821" localSheetId="0">#N/A</definedName>
    <definedName name="UFPrn20081129112821">'[2]#REF!'!$A$1:$G$17</definedName>
    <definedName name="UFPrn20081129112845" localSheetId="0">#N/A</definedName>
    <definedName name="UFPrn20081129112845">'[2]#REF!'!$A$1:$G$13</definedName>
    <definedName name="UFPrn20081129112908" localSheetId="0">#N/A</definedName>
    <definedName name="UFPrn20081129112908">'[2]#REF!'!$A$1:$G$78</definedName>
    <definedName name="UFPrn20090202152643" localSheetId="0">#N/A</definedName>
    <definedName name="UFPrn20090202152643">'[2]#REF!'!$A$1:$G$26</definedName>
    <definedName name="UFPrn20090202152708" localSheetId="0">#N/A</definedName>
    <definedName name="UFPrn20090202152708">'[2]#REF!'!$A$1:$G$8</definedName>
    <definedName name="UFPrn20090202152739" localSheetId="0">#N/A</definedName>
    <definedName name="UFPrn20090202152739">'[2]#REF!'!$A$1:$G$29</definedName>
    <definedName name="UFPrn20090202152811" localSheetId="0">#N/A</definedName>
    <definedName name="UFPrn20090202152811">'[2]#REF!'!$A$1:$G$9</definedName>
    <definedName name="UFPrn20090202153034" localSheetId="0">#N/A</definedName>
    <definedName name="UFPrn20090202153034">'[2]#REF!'!$A$1:$G$12</definedName>
    <definedName name="UFPrn20090202153056" localSheetId="0">#N/A</definedName>
    <definedName name="UFPrn20090202153056">'[2]#REF!'!$A$1:$G$21</definedName>
    <definedName name="UFPrn20090202153117" localSheetId="0">#N/A</definedName>
    <definedName name="UFPrn20090202153117">'[2]#REF!'!$A$1:$G$36</definedName>
    <definedName name="UFPrn20090227141731" localSheetId="0">#N/A</definedName>
    <definedName name="UFPrn20090227141731">'[2]#REF!'!$A$1:$G$65</definedName>
    <definedName name="UFPrn20090227141824" localSheetId="0">#N/A</definedName>
    <definedName name="UFPrn20090227141824">'[2]#REF!'!$A$1:$G$32</definedName>
    <definedName name="UFPrn20090227143123" localSheetId="0">#N/A</definedName>
    <definedName name="UFPrn20090227143123">'[2]#REF!'!$A$1:$G$26</definedName>
    <definedName name="UFPrn20090227143153" localSheetId="0">#N/A</definedName>
    <definedName name="UFPrn20090227143153">'[2]#REF!'!$A$1:$G$24</definedName>
    <definedName name="UFPrn20090227143218" localSheetId="0">#N/A</definedName>
    <definedName name="UFPrn20090227143218">'[2]#REF!'!$A$1:$G$43</definedName>
    <definedName name="UFPrn20090227143240" localSheetId="0">#N/A</definedName>
    <definedName name="UFPrn20090227143240">'[2]#REF!'!$A$1:$G$17</definedName>
    <definedName name="UFPrn20090227143303" localSheetId="0">#N/A</definedName>
    <definedName name="UFPrn20090227143303">'[2]#REF!'!$A$1:$G$27</definedName>
    <definedName name="UFPrn20090402124719" localSheetId="0">#N/A</definedName>
    <definedName name="UFPrn20090402124719">'[2]#REF!'!$A$1:$G$39</definedName>
    <definedName name="UFPrn20090402124740" localSheetId="0">#N/A</definedName>
    <definedName name="UFPrn20090402124740">'[2]#REF!'!$A$1:$G$31</definedName>
    <definedName name="UFPrn20090402124805" localSheetId="0">#N/A</definedName>
    <definedName name="UFPrn20090402124805">'[2]#REF!'!$A$1:$G$27</definedName>
    <definedName name="UFPrn20090402124824" localSheetId="0">#N/A</definedName>
    <definedName name="UFPrn20090402124824">'[2]#REF!'!$A$1:$G$9</definedName>
    <definedName name="UFPrn20090402124842" localSheetId="0">#N/A</definedName>
    <definedName name="UFPrn20090402124842">'[2]#REF!'!$A$1:$G$17</definedName>
    <definedName name="UFPrn20090402124901" localSheetId="0">#N/A</definedName>
    <definedName name="UFPrn20090402124901">'[2]#REF!'!$A$1:$G$23</definedName>
    <definedName name="UFPrn20090402124920" localSheetId="0">#N/A</definedName>
    <definedName name="UFPrn20090402124920">'[2]#REF!'!$A$1:$G$32</definedName>
    <definedName name="UFPrn20090506134619" localSheetId="0">#N/A</definedName>
    <definedName name="UFPrn20090506134619">'[2]#REF!'!$A$1:$G$35</definedName>
    <definedName name="UFPrn20090506134645" localSheetId="0">#N/A</definedName>
    <definedName name="UFPrn20090506134645">'[2]#REF!'!$A$1:$G$13</definedName>
    <definedName name="UFPrn20090506134706" localSheetId="0">#N/A</definedName>
    <definedName name="UFPrn20090506134706">'[2]#REF!'!$A$1:$G$35</definedName>
    <definedName name="UFPrn20090506134725" localSheetId="0">#N/A</definedName>
    <definedName name="UFPrn20090506134725">'[2]#REF!'!$A$1:$G$11</definedName>
    <definedName name="UFPrn20090506134744" localSheetId="0">#N/A</definedName>
    <definedName name="UFPrn20090506134744">'[2]#REF!'!$A$1:$G$15</definedName>
    <definedName name="UFPrn20090506134802" localSheetId="0">#N/A</definedName>
    <definedName name="UFPrn20090506134802">'[2]#REF!'!$A$1:$G$27</definedName>
    <definedName name="UFPrn20090506134824" localSheetId="0">#N/A</definedName>
    <definedName name="UFPrn20090506134824">'[2]#REF!'!$A$1:$G$33</definedName>
    <definedName name="UFPrn20090602133532" localSheetId="0">#N/A</definedName>
    <definedName name="UFPrn20090602133532">'[2]#REF!'!$A$1:$G$46</definedName>
    <definedName name="UFPrn20090602133600" localSheetId="0">#N/A</definedName>
    <definedName name="UFPrn20090602133600">'[2]#REF!'!$A$1:$G$16</definedName>
    <definedName name="UFPrn20090602133621" localSheetId="0">#N/A</definedName>
    <definedName name="UFPrn20090602133621">'[2]#REF!'!$A$1:$G$26</definedName>
    <definedName name="UFPrn20090602133639" localSheetId="0">#N/A</definedName>
    <definedName name="UFPrn20090602133639">'[2]#REF!'!$A$1:$G$4</definedName>
    <definedName name="UFPrn20090602133657" localSheetId="0">#N/A</definedName>
    <definedName name="UFPrn20090602133657">'[2]#REF!'!$A$1:$G$15</definedName>
    <definedName name="UFPrn20090602133714" localSheetId="0">#N/A</definedName>
    <definedName name="UFPrn20090602133714">'[2]#REF!'!$A$1:$G$28</definedName>
    <definedName name="UFPrn20090602133732" localSheetId="0">#N/A</definedName>
    <definedName name="UFPrn20090602133732">'[2]#REF!'!$A$1:$G$36</definedName>
    <definedName name="UFPrn20090708114525" localSheetId="0">#N/A</definedName>
    <definedName name="UFPrn20090708114525">'[2]#REF!'!$A$1:$G$33</definedName>
    <definedName name="UFPrn20090708114546" localSheetId="0">#N/A</definedName>
    <definedName name="UFPrn20090708114546">'[2]#REF!'!$A$1:$G$64</definedName>
    <definedName name="UFPrn20090708114606" localSheetId="0">#N/A</definedName>
    <definedName name="UFPrn20090708114606">'[2]#REF!'!$A$1:$G$67</definedName>
    <definedName name="UFPrn20090708114627" localSheetId="0">#N/A</definedName>
    <definedName name="UFPrn20090708114627">'[2]#REF!'!$A$1:$G$32</definedName>
    <definedName name="UFPrn20090708114658" localSheetId="0">#N/A</definedName>
    <definedName name="UFPrn20090708114658">'[2]#REF!'!$A$1:$G$20</definedName>
    <definedName name="UFPrn20090708114718" localSheetId="0">#N/A</definedName>
    <definedName name="UFPrn20090708114718">'[2]#REF!'!$A$1:$G$36</definedName>
    <definedName name="UFPrn20090708114735" localSheetId="0">#N/A</definedName>
    <definedName name="UFPrn20090708114735">'[2]#REF!'!$A$1:$G$45</definedName>
    <definedName name="UFPrn20090806151101" localSheetId="0">#N/A</definedName>
    <definedName name="UFPrn20090806151101">'[2]#REF!'!$A$1:$G$23</definedName>
    <definedName name="UFPrn20090806151130" localSheetId="0">#N/A</definedName>
    <definedName name="UFPrn20090806151130">'[2]#REF!'!$A$1:$G$20</definedName>
    <definedName name="UFPrn20090806151159" localSheetId="0">#N/A</definedName>
    <definedName name="UFPrn20090806151159">'[2]#REF!'!$A$1:$G$31</definedName>
    <definedName name="UFPrn20090806151220" localSheetId="0">#N/A</definedName>
    <definedName name="UFPrn20090806151220">'[2]#REF!'!$A$1:$G$8</definedName>
    <definedName name="UFPrn20090806151257" localSheetId="0">#N/A</definedName>
    <definedName name="UFPrn20090806151257">'[2]#REF!'!$A$1:$G$17</definedName>
    <definedName name="UFPrn20090806151318" localSheetId="0">#N/A</definedName>
    <definedName name="UFPrn20090806151318">'[2]#REF!'!$A$1:$G$48</definedName>
    <definedName name="UFPrn20090806151350" localSheetId="0">#N/A</definedName>
    <definedName name="UFPrn20090806151350">'[2]#REF!'!$A$1:$G$51</definedName>
    <definedName name="UFPrn20090902145146" localSheetId="0">#N/A</definedName>
    <definedName name="UFPrn20090902145146">'[2]#REF!'!$A$1:$G$39</definedName>
    <definedName name="UFPrn20090902145211" localSheetId="0">#N/A</definedName>
    <definedName name="UFPrn20090902145211">'[2]#REF!'!$A$1:$G$44</definedName>
    <definedName name="UFPrn20090902145235" localSheetId="0">#N/A</definedName>
    <definedName name="UFPrn20090902145235">'[2]#REF!'!$A$1:$G$50</definedName>
    <definedName name="UFPrn20090902145303" localSheetId="0">#N/A</definedName>
    <definedName name="UFPrn20090902145303">'[2]#REF!'!$A$1:$G$21</definedName>
    <definedName name="UFPrn20090902145325" localSheetId="0">#N/A</definedName>
    <definedName name="UFPrn20090902145325">'[2]#REF!'!$A$1:$G$12</definedName>
    <definedName name="UFPrn20090902145347" localSheetId="0">#N/A</definedName>
    <definedName name="UFPrn20090902145347">'[2]#REF!'!$A$1:$G$57</definedName>
    <definedName name="UFPrn20090902145410" localSheetId="0">#N/A</definedName>
    <definedName name="UFPrn20090902145410">'[2]#REF!'!$A$1:$G$44</definedName>
    <definedName name="UFPrn20090928161324" localSheetId="0">#N/A</definedName>
    <definedName name="UFPrn20090928161324">'[2]#REF!'!$A$1:$G$43</definedName>
    <definedName name="UFPrn20090928161412" localSheetId="0">#N/A</definedName>
    <definedName name="UFPrn20090928161412">'[2]#REF!'!$A$1:$G$60</definedName>
    <definedName name="UFPrn20090928161715" localSheetId="0">#N/A</definedName>
    <definedName name="UFPrn20090928161715">'[2]#REF!'!$A$1:$G$44</definedName>
    <definedName name="UFPrn20090928161742" localSheetId="0">#N/A</definedName>
    <definedName name="UFPrn20090928161742">'[2]#REF!'!$A$1:$G$15</definedName>
    <definedName name="UFPrn20090928161815" localSheetId="0">#N/A</definedName>
    <definedName name="UFPrn20090928161815">'[2]#REF!'!$A$1:$G$16</definedName>
    <definedName name="UFPrn20090928161836" localSheetId="0">#N/A</definedName>
    <definedName name="UFPrn20090928161836">'[2]#REF!'!$A$1:$G$51</definedName>
    <definedName name="UFPrn20090928161858" localSheetId="0">#N/A</definedName>
    <definedName name="UFPrn20090928161858">'[2]#REF!'!$A$1:$G$67</definedName>
    <definedName name="UFPrn20091004105234" localSheetId="0">#N/A</definedName>
    <definedName name="UFPrn20091004105234">'[2]#REF!'!$A$1:$G$62</definedName>
    <definedName name="UFPrn20091004105419" localSheetId="0">#N/A</definedName>
    <definedName name="UFPrn20091004105419">'[2]#REF!'!$A$1:$G$19</definedName>
    <definedName name="UFPrn20091004110213" localSheetId="0">#N/A</definedName>
    <definedName name="UFPrn20091004110213">'[2]#REF!'!$A$1:$Y$365</definedName>
    <definedName name="UFPrn20091004110449" localSheetId="0">#N/A</definedName>
    <definedName name="UFPrn20091004110449">'[2]#REF!'!$A$1:$Y$365</definedName>
    <definedName name="UFPrn20091106112241" localSheetId="0">#N/A</definedName>
    <definedName name="UFPrn20091106112241">'[2]#REF!'!$A$1:$G$30</definedName>
    <definedName name="UFPrn20091106112307" localSheetId="0">#N/A</definedName>
    <definedName name="UFPrn20091106112307">'[2]#REF!'!$A$1:$G$10</definedName>
    <definedName name="UFPrn20091106112328" localSheetId="0">#N/A</definedName>
    <definedName name="UFPrn20091106112328">'[2]#REF!'!$A$1:$G$10</definedName>
    <definedName name="UFPrn20091106112348" localSheetId="0">#N/A</definedName>
    <definedName name="UFPrn20091106112348">'[2]#REF!'!$A$1:$G$83</definedName>
    <definedName name="UFPrn20091106112408" localSheetId="0">#N/A</definedName>
    <definedName name="UFPrn20091106112408">'[2]#REF!'!$A$1:$G$55</definedName>
    <definedName name="UFPrn20091203114924" localSheetId="0">#N/A</definedName>
    <definedName name="UFPrn20091203114924">'[2]#REF!'!$A$1:$G$46</definedName>
    <definedName name="UFPrn20091203114952" localSheetId="0">#N/A</definedName>
    <definedName name="UFPrn20091203114952">'[2]#REF!'!$A$1:$G$86</definedName>
    <definedName name="UFPrn20091203115013" localSheetId="0">#N/A</definedName>
    <definedName name="UFPrn20091203115013">'[2]#REF!'!$A$1:$G$4</definedName>
    <definedName name="UFPrn20091203115033" localSheetId="0">#N/A</definedName>
    <definedName name="UFPrn20091203115033">'[2]#REF!'!$A$1:$G$20</definedName>
    <definedName name="UFPrn20091203115104" localSheetId="0">#N/A</definedName>
    <definedName name="UFPrn20091203115104">'[2]#REF!'!$A$1:$G$87</definedName>
    <definedName name="UFPrn20091203115127" localSheetId="0">#N/A</definedName>
    <definedName name="UFPrn20091203115127">'[2]#REF!'!$A$1:$G$86</definedName>
    <definedName name="UFPrn20091203115206" localSheetId="0">#N/A</definedName>
    <definedName name="UFPrn20091203115206">'[2]#REF!'!$A$1:$Y$444</definedName>
    <definedName name="UFPrn20100105101603" localSheetId="0">#N/A</definedName>
    <definedName name="UFPrn20100105101603">'[2]#REF!'!$A$1:$Y$424</definedName>
    <definedName name="UFPrn20100105133903" localSheetId="0">#N/A</definedName>
    <definedName name="UFPrn20100105133903">'[2]#REF!'!$A$1:$G$38</definedName>
    <definedName name="UFPrn20100105133922" localSheetId="0">#N/A</definedName>
    <definedName name="UFPrn20100105133922">'[2]#REF!'!$A$1:$G$28</definedName>
    <definedName name="UFPrn20100105133941" localSheetId="0">#N/A</definedName>
    <definedName name="UFPrn20100105133941">'[2]#REF!'!$A$1:$G$58</definedName>
    <definedName name="UFPrn20100105134006" localSheetId="0">#N/A</definedName>
    <definedName name="UFPrn20100105134006">'[2]#REF!'!$A$1:$G$6</definedName>
    <definedName name="UFPrn20100105134025" localSheetId="0">#N/A</definedName>
    <definedName name="UFPrn20100105134025">'[2]#REF!'!$A$1:$G$16</definedName>
    <definedName name="UFPrn20100105134045" localSheetId="0">#N/A</definedName>
    <definedName name="UFPrn20100105134045">'[2]#REF!'!$A$1:$G$50</definedName>
    <definedName name="UFPrn20100105134104" localSheetId="0">#N/A</definedName>
    <definedName name="UFPrn20100105134104">'[2]#REF!'!$A$1:$G$96</definedName>
    <definedName name="UFPrn20100105152637" localSheetId="0">#N/A</definedName>
    <definedName name="UFPrn20100105152637">'[2]#REF!'!$A$1:$Y$424</definedName>
    <definedName name="UFPrn20100208103712" localSheetId="0">#N/A</definedName>
    <definedName name="UFPrn20100208103712">'[2]#REF!'!$A$1:$G$58</definedName>
    <definedName name="UFPrn20100208103736" localSheetId="0">#N/A</definedName>
    <definedName name="UFPrn20100208103736">'[2]#REF!'!$A$1:$G$33</definedName>
    <definedName name="UFPrn20100208103759" localSheetId="0">#N/A</definedName>
    <definedName name="UFPrn20100208103759">'[2]#REF!'!$A$1:$G$25</definedName>
    <definedName name="UFPrn20100208103823" localSheetId="0">#N/A</definedName>
    <definedName name="UFPrn20100208103823">'[2]#REF!'!$A$1:$G$75</definedName>
    <definedName name="UFPrn20100208103842" localSheetId="0">#N/A</definedName>
    <definedName name="UFPrn20100208103842">'[2]#REF!'!$A$1:$G$11</definedName>
    <definedName name="UFPrn20100208113524" localSheetId="0">#N/A</definedName>
    <definedName name="UFPrn20100208113524">'[2]#REF!'!$A$1:$G$42</definedName>
    <definedName name="UFPrn20100208113556" localSheetId="0">#N/A</definedName>
    <definedName name="UFPrn20100208113556">'[2]#REF!'!$A$1:$G$83</definedName>
    <definedName name="UFPrn20100403141925" localSheetId="0">#N/A</definedName>
    <definedName name="UFPrn20100403141925">'[2]#REF!'!$A$1:$Y$442</definedName>
    <definedName name="UFPrn20100407160417" localSheetId="0">#N/A</definedName>
    <definedName name="UFPrn20100407160417">'[2]#REF!'!$A$1:$G$31</definedName>
    <definedName name="UFPrn20100407160442" localSheetId="0">#N/A</definedName>
    <definedName name="UFPrn20100407160442">'[2]#REF!'!$A$1:$G$30</definedName>
    <definedName name="UFPrn20100407160503" localSheetId="0">#N/A</definedName>
    <definedName name="UFPrn20100407160503">'[2]#REF!'!$A$1:$G$69</definedName>
    <definedName name="UFPrn20100407160524" localSheetId="0">#N/A</definedName>
    <definedName name="UFPrn20100407160524">'[2]#REF!'!$A$1:$G$10</definedName>
    <definedName name="UFPrn20100407160546" localSheetId="0">#N/A</definedName>
    <definedName name="UFPrn20100407160546">'[2]#REF!'!$A$1:$G$12</definedName>
    <definedName name="UFPrn20100407160613" localSheetId="0">#N/A</definedName>
    <definedName name="UFPrn20100407160613">'[2]#REF!'!$A$1:$G$67</definedName>
    <definedName name="UFPrn20100407160636" localSheetId="0">#N/A</definedName>
    <definedName name="UFPrn20100407160636">'[2]#REF!'!$A$1:$G$66</definedName>
    <definedName name="UFPrn20100511112426" localSheetId="0">#N/A</definedName>
    <definedName name="UFPrn20100511112426">'[2]#REF!'!$A$1:$Y$418</definedName>
    <definedName name="UFPrn20100604094454" localSheetId="0">#N/A</definedName>
    <definedName name="UFPrn20100604094454">'[2]#REF!'!$A$1:$Y$373</definedName>
    <definedName name="UFPrn20100705121733" localSheetId="0">#N/A</definedName>
    <definedName name="UFPrn20100705121733">'[2]#REF!'!$A$1:$Y$448</definedName>
    <definedName name="UFPrn20100804143003" localSheetId="0">#N/A</definedName>
    <definedName name="UFPrn20100804143003">'[2]#REF!'!$A$1:$E$116</definedName>
    <definedName name="UFPrn20100804143031" localSheetId="0">#N/A</definedName>
    <definedName name="UFPrn20100804143031">'[2]#REF!'!$A$1:$E$39</definedName>
    <definedName name="UFPrn20100804143057" localSheetId="0">#N/A</definedName>
    <definedName name="UFPrn20100804143057">'[2]#REF!'!$A$1:$E$107</definedName>
    <definedName name="UFPrn20100804143134" localSheetId="0">#N/A</definedName>
    <definedName name="UFPrn20100804143134">'[2]#REF!'!$A$1:$E$22</definedName>
    <definedName name="UFPrn20100804143155" localSheetId="0">#N/A</definedName>
    <definedName name="UFPrn20100804143155">'[2]#REF!'!$A$1:$G$21</definedName>
    <definedName name="UFPrn20100804143221" localSheetId="0">#N/A</definedName>
    <definedName name="UFPrn20100804143221">'[2]#REF!'!$A$1:$E$21</definedName>
    <definedName name="UFPrn20100804143300" localSheetId="0">#N/A</definedName>
    <definedName name="UFPrn20100804143300">'[2]#REF!'!$A$1:$E$142</definedName>
    <definedName name="UFPrn20100804143328" localSheetId="0">#N/A</definedName>
    <definedName name="UFPrn20100804143328">'[2]#REF!'!$A$1:$E$146</definedName>
    <definedName name="UFPrn20100903104225" localSheetId="0">#N/A</definedName>
    <definedName name="UFPrn20100903104225">'[2]#REF!'!$A$1:$Y$416</definedName>
    <definedName name="UFPrn20100903110257" localSheetId="0">#N/A</definedName>
    <definedName name="UFPrn20100903110257">'[2]#REF!'!$A$1:$E$53</definedName>
    <definedName name="UFPrn20100903110343" localSheetId="0">#N/A</definedName>
    <definedName name="UFPrn20100903110343">'[2]#REF!'!$A$1:$E$22</definedName>
    <definedName name="UFPrn20100903110616" localSheetId="0">#N/A</definedName>
    <definedName name="UFPrn20100903110616">'[2]#REF!'!$A$1:$E$72</definedName>
    <definedName name="UFPrn20100903110642" localSheetId="0">#N/A</definedName>
    <definedName name="UFPrn20100903110642">'[2]#REF!'!$A$1:$E$5</definedName>
    <definedName name="UFPrn20100903110708" localSheetId="0">#N/A</definedName>
    <definedName name="UFPrn20100903110708">'[2]#REF!'!$A$1:$E$7</definedName>
    <definedName name="UFPrn20100903110734" localSheetId="0">#N/A</definedName>
    <definedName name="UFPrn20100903110734">'[2]#REF!'!$A$1:$E$45</definedName>
    <definedName name="UFPrn20100903110802" localSheetId="0">#N/A</definedName>
    <definedName name="UFPrn20100903110802">'[2]#REF!'!$A$1:$E$55</definedName>
    <definedName name="UFPrn20100908120848" localSheetId="0">#N/A</definedName>
    <definedName name="UFPrn20100908120848">'[2]#REF!'!$A$1:$G$67</definedName>
    <definedName name="ya" localSheetId="0">#N/A</definedName>
    <definedName name="ya">'[3]#REF!'!$A$2:$G$12</definedName>
    <definedName name="YY" localSheetId="0">#REF!</definedName>
    <definedName name="YY">#REF!</definedName>
    <definedName name="出" localSheetId="0">#N/A</definedName>
    <definedName name="出">'[2]#REF!'!$A$1:$Y$372</definedName>
    <definedName name="出库" localSheetId="0">#N/A</definedName>
    <definedName name="出库">'[2]#REF!'!$A$1:$G$130</definedName>
    <definedName name="二部" localSheetId="0">#N/A</definedName>
    <definedName name="二部">'[2]#REF!'!$A$2:$G$107</definedName>
    <definedName name="二部入库" localSheetId="0">#N/A</definedName>
    <definedName name="二部入库">'[2]#REF!'!$A$1:$G$104</definedName>
    <definedName name="二入" localSheetId="0">#N/A</definedName>
    <definedName name="二入">'[2]#REF!'!$A$1:$G$30</definedName>
    <definedName name="公用" localSheetId="0">#N/A</definedName>
    <definedName name="公用">'[2]#REF!'!$A$2:$G$43</definedName>
    <definedName name="公用入库" localSheetId="0">#N/A</definedName>
    <definedName name="公用入库">'[2]#REF!'!$A$1:$G$13</definedName>
    <definedName name="管理部" localSheetId="0">#N/A</definedName>
    <definedName name="管理部">'[2]#REF!'!$A$2:$G$75</definedName>
    <definedName name="管理部入库" localSheetId="0">#N/A</definedName>
    <definedName name="管理部入库">'[2]#REF!'!$A$1:$G$36</definedName>
    <definedName name="管入" localSheetId="0">#N/A</definedName>
    <definedName name="管入">'[2]#REF!'!$A$1:$G$24</definedName>
    <definedName name="后工序" localSheetId="0">#N/A</definedName>
    <definedName name="后工序">'[2]#REF!'!$A$2:$G$25</definedName>
    <definedName name="后工序入" localSheetId="0">#N/A</definedName>
    <definedName name="后工序入">'[2]#REF!'!$A$2:$G$20</definedName>
    <definedName name="后工序入库" localSheetId="0">#N/A</definedName>
    <definedName name="后工序入库">'[2]#REF!'!$A$1:$G$15</definedName>
    <definedName name="后入" localSheetId="0">#N/A</definedName>
    <definedName name="后入">'[2]#REF!'!$A$1:$G$10</definedName>
    <definedName name="荒入" localSheetId="0">#N/A</definedName>
    <definedName name="荒入">'[3]#REF!'!$A$2:$G$28</definedName>
    <definedName name="荒削入" localSheetId="0">#N/A</definedName>
    <definedName name="荒削入">'[2]#REF!'!$A$2:$G$62</definedName>
    <definedName name="开发部" localSheetId="0">#N/A</definedName>
    <definedName name="开发部">'[2]#REF!'!$A$2:$G$9</definedName>
    <definedName name="开发部入库" localSheetId="0">#N/A</definedName>
    <definedName name="开发部入库">'[2]#REF!'!$A$1:$G$14</definedName>
    <definedName name="开入" localSheetId="0">#N/A</definedName>
    <definedName name="开入">'[2]#REF!'!$A$1:$G$8</definedName>
    <definedName name="品入" localSheetId="0">#N/A</definedName>
    <definedName name="品入">'[2]#REF!'!$A$1:$G$17</definedName>
    <definedName name="品质部" localSheetId="0">#N/A</definedName>
    <definedName name="品质部">'[2]#REF!'!$A$2:$G$17</definedName>
    <definedName name="品质部入库" localSheetId="0">#N/A</definedName>
    <definedName name="品质部入库">'[2]#REF!'!$A$1:$G$38</definedName>
    <definedName name="生产二部入" localSheetId="0">#N/A</definedName>
    <definedName name="生产二部入">'[3]#REF!'!$A$2:$G$21</definedName>
    <definedName name="生产二部入1" localSheetId="0">#N/A</definedName>
    <definedName name="生产二部入1">'[3]#REF!'!$A$2:$G$11</definedName>
    <definedName name="压入" localSheetId="0">#N/A</definedName>
    <definedName name="压入">'[2]#REF!'!$A$1:$G$21</definedName>
    <definedName name="压铸" localSheetId="0">#N/A</definedName>
    <definedName name="压铸">'[2]#REF!'!$A$2:$F$24</definedName>
    <definedName name="压铸入" localSheetId="0">#N/A</definedName>
    <definedName name="压铸入">'[2]#REF!'!$A$2:$G$78</definedName>
    <definedName name="压铸入1" localSheetId="0">#N/A</definedName>
    <definedName name="压铸入1">'[3]#REF!'!$A$2:$G$21</definedName>
    <definedName name="压铸入库" localSheetId="0">#N/A</definedName>
    <definedName name="压铸入库">'[2]#REF!'!$A$1:$G$28</definedName>
    <definedName name="最入" localSheetId="0">#N/A</definedName>
    <definedName name="最入">'[2]#REF!'!$A$1:$G$68</definedName>
    <definedName name="最终检查" localSheetId="0">#N/A</definedName>
    <definedName name="最终检查">'[2]#REF!'!$A$2:$G$97</definedName>
    <definedName name="最终检查入库" localSheetId="0">#N/A</definedName>
    <definedName name="最终检查入库">'[2]#REF!'!$A$1:$G$61</definedName>
    <definedName name="ㅇ198" localSheetId="0">#N/A</definedName>
    <definedName name="ㅇ198">'[2]#REF!'!$C$24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" l="1"/>
  <c r="N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O26" i="1"/>
  <c r="N26" i="1"/>
  <c r="J26" i="1"/>
  <c r="H26" i="1"/>
  <c r="G26" i="1"/>
  <c r="D26" i="1"/>
  <c r="C26" i="1"/>
  <c r="M25" i="1"/>
  <c r="I25" i="1"/>
  <c r="F25" i="1"/>
  <c r="E25" i="1"/>
  <c r="M24" i="1"/>
  <c r="I24" i="1"/>
  <c r="F24" i="1"/>
  <c r="E24" i="1"/>
  <c r="M23" i="1"/>
  <c r="I23" i="1"/>
  <c r="F23" i="1"/>
  <c r="E23" i="1"/>
  <c r="M22" i="1"/>
  <c r="I22" i="1"/>
  <c r="F22" i="1"/>
  <c r="E22" i="1"/>
  <c r="M21" i="1"/>
  <c r="I21" i="1"/>
  <c r="F21" i="1"/>
  <c r="E21" i="1"/>
  <c r="M20" i="1"/>
  <c r="I20" i="1"/>
  <c r="F20" i="1"/>
  <c r="E20" i="1"/>
  <c r="M19" i="1"/>
  <c r="I19" i="1"/>
  <c r="F19" i="1"/>
  <c r="E19" i="1"/>
  <c r="L18" i="1"/>
  <c r="M18" i="1" s="1"/>
  <c r="I18" i="1"/>
  <c r="F18" i="1"/>
  <c r="E18" i="1"/>
  <c r="L17" i="1"/>
  <c r="M17" i="1" s="1"/>
  <c r="I17" i="1"/>
  <c r="F17" i="1"/>
  <c r="E17" i="1"/>
  <c r="L16" i="1"/>
  <c r="I16" i="1"/>
  <c r="F16" i="1"/>
  <c r="E16" i="1"/>
  <c r="M15" i="1"/>
  <c r="I15" i="1"/>
  <c r="F15" i="1"/>
  <c r="E15" i="1"/>
  <c r="L14" i="1"/>
  <c r="M14" i="1" s="1"/>
  <c r="I14" i="1"/>
  <c r="F14" i="1"/>
  <c r="E14" i="1"/>
  <c r="L13" i="1"/>
  <c r="M13" i="1" s="1"/>
  <c r="I13" i="1"/>
  <c r="F13" i="1"/>
  <c r="E13" i="1"/>
  <c r="L12" i="1"/>
  <c r="M12" i="1" s="1"/>
  <c r="I12" i="1"/>
  <c r="F12" i="1"/>
  <c r="E12" i="1"/>
  <c r="L11" i="1"/>
  <c r="M11" i="1" s="1"/>
  <c r="I11" i="1"/>
  <c r="F11" i="1"/>
  <c r="E11" i="1"/>
  <c r="M10" i="1"/>
  <c r="I10" i="1"/>
  <c r="F10" i="1"/>
  <c r="E10" i="1"/>
  <c r="M9" i="1"/>
  <c r="I9" i="1"/>
  <c r="F9" i="1"/>
  <c r="E9" i="1"/>
  <c r="M8" i="1"/>
  <c r="I8" i="1"/>
  <c r="F8" i="1"/>
  <c r="E8" i="1"/>
  <c r="M7" i="1"/>
  <c r="I7" i="1"/>
  <c r="F7" i="1"/>
  <c r="E7" i="1"/>
  <c r="M6" i="1"/>
  <c r="I6" i="1"/>
  <c r="F6" i="1"/>
  <c r="P6" i="1" s="1"/>
  <c r="E6" i="1"/>
  <c r="M5" i="1"/>
  <c r="I5" i="1"/>
  <c r="F5" i="1"/>
  <c r="E5" i="1"/>
  <c r="P4" i="1"/>
  <c r="T3" i="1"/>
  <c r="P24" i="1" l="1"/>
  <c r="P21" i="1"/>
  <c r="P8" i="1"/>
  <c r="T8" i="1" s="1"/>
  <c r="P13" i="1"/>
  <c r="T13" i="1" s="1"/>
  <c r="P9" i="1"/>
  <c r="T9" i="1" s="1"/>
  <c r="E26" i="1"/>
  <c r="P10" i="1"/>
  <c r="T10" i="1" s="1"/>
  <c r="P15" i="1"/>
  <c r="T15" i="1" s="1"/>
  <c r="P19" i="1"/>
  <c r="P18" i="1"/>
  <c r="T18" i="1" s="1"/>
  <c r="F26" i="1"/>
  <c r="P14" i="1"/>
  <c r="T14" i="1" s="1"/>
  <c r="P5" i="1"/>
  <c r="T5" i="1" s="1"/>
  <c r="U5" i="1" s="1"/>
  <c r="P20" i="1"/>
  <c r="T20" i="1" s="1"/>
  <c r="U20" i="1" s="1"/>
  <c r="P25" i="1"/>
  <c r="T25" i="1" s="1"/>
  <c r="P22" i="1"/>
  <c r="T22" i="1" s="1"/>
  <c r="P11" i="1"/>
  <c r="T11" i="1" s="1"/>
  <c r="P23" i="1"/>
  <c r="T23" i="1" s="1"/>
  <c r="P12" i="1"/>
  <c r="P17" i="1"/>
  <c r="T24" i="1"/>
  <c r="U24" i="1" s="1"/>
  <c r="T6" i="1"/>
  <c r="T21" i="1"/>
  <c r="U21" i="1" s="1"/>
  <c r="M16" i="1"/>
  <c r="M26" i="1" s="1"/>
  <c r="P7" i="1"/>
  <c r="U3" i="1"/>
  <c r="T4" i="1"/>
  <c r="V3" i="1"/>
  <c r="P16" i="1" l="1"/>
  <c r="T17" i="1"/>
  <c r="T12" i="1"/>
  <c r="U12" i="1" s="1"/>
  <c r="U11" i="1"/>
  <c r="V11" i="1" s="1"/>
  <c r="U14" i="1"/>
  <c r="V14" i="1" s="1"/>
  <c r="T19" i="1"/>
  <c r="U19" i="1" s="1"/>
  <c r="T16" i="1"/>
  <c r="U8" i="1"/>
  <c r="U9" i="1"/>
  <c r="V24" i="1"/>
  <c r="W24" i="1" s="1"/>
  <c r="X24" i="1" s="1"/>
  <c r="V20" i="1"/>
  <c r="U18" i="1"/>
  <c r="V18" i="1"/>
  <c r="W18" i="1"/>
  <c r="U15" i="1"/>
  <c r="V21" i="1"/>
  <c r="U6" i="1"/>
  <c r="V6" i="1" s="1"/>
  <c r="V5" i="1"/>
  <c r="U13" i="1"/>
  <c r="V13" i="1" s="1"/>
  <c r="W13" i="1" s="1"/>
  <c r="U25" i="1"/>
  <c r="U4" i="1"/>
  <c r="V12" i="1"/>
  <c r="W3" i="1"/>
  <c r="U23" i="1"/>
  <c r="P26" i="1"/>
  <c r="P29" i="1" s="1"/>
  <c r="P46" i="1" s="1"/>
  <c r="T7" i="1"/>
  <c r="T26" i="1" s="1"/>
  <c r="U10" i="1"/>
  <c r="V10" i="1" s="1"/>
  <c r="U22" i="1"/>
  <c r="W20" i="1" l="1"/>
  <c r="X20" i="1" s="1"/>
  <c r="W11" i="1"/>
  <c r="X11" i="1"/>
  <c r="W14" i="1"/>
  <c r="X14" i="1"/>
  <c r="T27" i="1"/>
  <c r="V9" i="1"/>
  <c r="W9" i="1" s="1"/>
  <c r="X9" i="1" s="1"/>
  <c r="V19" i="1"/>
  <c r="X18" i="1"/>
  <c r="V23" i="1"/>
  <c r="W23" i="1" s="1"/>
  <c r="U17" i="1"/>
  <c r="W6" i="1"/>
  <c r="X6" i="1" s="1"/>
  <c r="W25" i="1"/>
  <c r="U16" i="1"/>
  <c r="V16" i="1" s="1"/>
  <c r="W16" i="1" s="1"/>
  <c r="X13" i="1"/>
  <c r="W5" i="1"/>
  <c r="X5" i="1" s="1"/>
  <c r="V4" i="1"/>
  <c r="V25" i="1"/>
  <c r="V22" i="1"/>
  <c r="W22" i="1" s="1"/>
  <c r="X22" i="1" s="1"/>
  <c r="W12" i="1"/>
  <c r="X12" i="1" s="1"/>
  <c r="U7" i="1"/>
  <c r="V7" i="1" s="1"/>
  <c r="W7" i="1"/>
  <c r="W21" i="1"/>
  <c r="X21" i="1" s="1"/>
  <c r="V8" i="1"/>
  <c r="W10" i="1"/>
  <c r="X10" i="1"/>
  <c r="V15" i="1"/>
  <c r="W15" i="1" s="1"/>
  <c r="X3" i="1"/>
  <c r="U26" i="1" l="1"/>
  <c r="U27" i="1" s="1"/>
  <c r="W19" i="1"/>
  <c r="X19" i="1" s="1"/>
  <c r="X23" i="1"/>
  <c r="X7" i="1"/>
  <c r="V17" i="1"/>
  <c r="W17" i="1" s="1"/>
  <c r="W8" i="1"/>
  <c r="X8" i="1" s="1"/>
  <c r="W4" i="1"/>
  <c r="X15" i="1"/>
  <c r="X16" i="1"/>
  <c r="X25" i="1"/>
  <c r="W26" i="1" l="1"/>
  <c r="V26" i="1"/>
  <c r="V27" i="1" s="1"/>
  <c r="W27" i="1"/>
  <c r="X17" i="1"/>
  <c r="X4" i="1"/>
  <c r="X26" i="1" l="1"/>
  <c r="X27" i="1" s="1"/>
</calcChain>
</file>

<file path=xl/sharedStrings.xml><?xml version="1.0" encoding="utf-8"?>
<sst xmlns="http://schemas.openxmlformats.org/spreadsheetml/2006/main" count="101" uniqueCount="70">
  <si>
    <r>
      <t>2025</t>
    </r>
    <r>
      <rPr>
        <sz val="16"/>
        <color indexed="8"/>
        <rFont val="宋体"/>
        <family val="3"/>
        <charset val="134"/>
      </rPr>
      <t>年</t>
    </r>
    <r>
      <rPr>
        <sz val="16"/>
        <color indexed="8"/>
        <rFont val="Arial"/>
        <family val="2"/>
      </rPr>
      <t>3</t>
    </r>
    <r>
      <rPr>
        <sz val="16"/>
        <color indexed="8"/>
        <rFont val="宋体"/>
        <family val="3"/>
        <charset val="134"/>
      </rPr>
      <t>月</t>
    </r>
    <r>
      <rPr>
        <sz val="16"/>
        <color indexed="8"/>
        <rFont val="Arial"/>
        <family val="2"/>
      </rPr>
      <t xml:space="preserve"> </t>
    </r>
    <r>
      <rPr>
        <sz val="16"/>
        <color indexed="8"/>
        <rFont val="宋体"/>
        <family val="3"/>
        <charset val="134"/>
      </rPr>
      <t>工资明细</t>
    </r>
    <phoneticPr fontId="6" type="noConversion"/>
  </si>
  <si>
    <r>
      <rPr>
        <sz val="10"/>
        <color indexed="8"/>
        <rFont val="宋体"/>
        <family val="3"/>
        <charset val="134"/>
      </rPr>
      <t>编号</t>
    </r>
  </si>
  <si>
    <r>
      <rPr>
        <sz val="10"/>
        <color indexed="8"/>
        <rFont val="宋体"/>
        <family val="3"/>
        <charset val="134"/>
      </rPr>
      <t>姓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宋体"/>
        <family val="3"/>
        <charset val="134"/>
      </rPr>
      <t>名</t>
    </r>
    <phoneticPr fontId="6" type="noConversion"/>
  </si>
  <si>
    <r>
      <rPr>
        <sz val="10"/>
        <color indexed="8"/>
        <rFont val="宋体"/>
        <family val="3"/>
        <charset val="134"/>
      </rPr>
      <t>作业天数</t>
    </r>
  </si>
  <si>
    <r>
      <rPr>
        <sz val="10"/>
        <color indexed="8"/>
        <rFont val="宋体"/>
        <family val="3"/>
        <charset val="134"/>
      </rPr>
      <t>作业小时</t>
    </r>
  </si>
  <si>
    <r>
      <rPr>
        <sz val="10"/>
        <color indexed="8"/>
        <rFont val="宋体"/>
        <family val="3"/>
        <charset val="134"/>
      </rPr>
      <t>天工资</t>
    </r>
  </si>
  <si>
    <r>
      <rPr>
        <sz val="10"/>
        <color indexed="8"/>
        <rFont val="宋体"/>
        <family val="3"/>
        <charset val="134"/>
      </rPr>
      <t>小时工资</t>
    </r>
  </si>
  <si>
    <r>
      <rPr>
        <sz val="10"/>
        <color indexed="8"/>
        <rFont val="宋体"/>
        <family val="3"/>
        <charset val="134"/>
      </rPr>
      <t>全勤费</t>
    </r>
  </si>
  <si>
    <r>
      <rPr>
        <sz val="10"/>
        <color indexed="8"/>
        <rFont val="宋体"/>
        <family val="3"/>
        <charset val="134"/>
      </rPr>
      <t>加班</t>
    </r>
    <r>
      <rPr>
        <sz val="10"/>
        <color rgb="FF000000"/>
        <rFont val="宋体"/>
        <family val="3"/>
        <charset val="134"/>
      </rPr>
      <t>小时</t>
    </r>
    <phoneticPr fontId="6" type="noConversion"/>
  </si>
  <si>
    <t>加班费</t>
    <phoneticPr fontId="6" type="noConversion"/>
  </si>
  <si>
    <t>国勤天数</t>
    <phoneticPr fontId="6" type="noConversion"/>
  </si>
  <si>
    <t>国勤工资</t>
    <phoneticPr fontId="6" type="noConversion"/>
  </si>
  <si>
    <r>
      <rPr>
        <sz val="10"/>
        <color indexed="8"/>
        <rFont val="宋体"/>
        <family val="3"/>
        <charset val="134"/>
      </rPr>
      <t>达标率</t>
    </r>
  </si>
  <si>
    <r>
      <rPr>
        <sz val="10"/>
        <color indexed="8"/>
        <rFont val="宋体"/>
        <family val="3"/>
        <charset val="134"/>
      </rPr>
      <t>达标工资</t>
    </r>
  </si>
  <si>
    <r>
      <rPr>
        <sz val="10"/>
        <color indexed="8"/>
        <rFont val="宋体"/>
        <family val="3"/>
        <charset val="134"/>
      </rPr>
      <t>是否社保</t>
    </r>
    <phoneticPr fontId="6" type="noConversion"/>
  </si>
  <si>
    <r>
      <rPr>
        <sz val="10"/>
        <color indexed="8"/>
        <rFont val="宋体"/>
        <family val="3"/>
        <charset val="134"/>
      </rPr>
      <t>扣除</t>
    </r>
    <phoneticPr fontId="6" type="noConversion"/>
  </si>
  <si>
    <r>
      <rPr>
        <sz val="10"/>
        <color indexed="8"/>
        <rFont val="宋体"/>
        <family val="3"/>
        <charset val="134"/>
      </rPr>
      <t>实发工资</t>
    </r>
  </si>
  <si>
    <r>
      <rPr>
        <sz val="10"/>
        <color indexed="8"/>
        <rFont val="宋体"/>
        <family val="3"/>
        <charset val="134"/>
      </rPr>
      <t>签</t>
    </r>
    <r>
      <rPr>
        <sz val="10"/>
        <color indexed="8"/>
        <rFont val="Arial"/>
        <family val="2"/>
      </rPr>
      <t xml:space="preserve">    </t>
    </r>
    <r>
      <rPr>
        <sz val="10"/>
        <color indexed="8"/>
        <rFont val="宋体"/>
        <family val="3"/>
        <charset val="134"/>
      </rPr>
      <t>字</t>
    </r>
  </si>
  <si>
    <r>
      <rPr>
        <sz val="10"/>
        <color indexed="8"/>
        <rFont val="宋体"/>
        <family val="3"/>
        <charset val="134"/>
      </rPr>
      <t>备考</t>
    </r>
    <phoneticPr fontId="6" type="noConversion"/>
  </si>
  <si>
    <r>
      <rPr>
        <sz val="10"/>
        <color indexed="8"/>
        <rFont val="宋体"/>
        <family val="3"/>
        <charset val="134"/>
      </rPr>
      <t>孟祥山</t>
    </r>
    <phoneticPr fontId="6" type="noConversion"/>
  </si>
  <si>
    <r>
      <rPr>
        <sz val="10"/>
        <color rgb="FF000000"/>
        <rFont val="宋体"/>
        <family val="2"/>
        <charset val="134"/>
      </rPr>
      <t>是</t>
    </r>
    <phoneticPr fontId="6" type="noConversion"/>
  </si>
  <si>
    <t>S</t>
  </si>
  <si>
    <r>
      <rPr>
        <sz val="10"/>
        <color indexed="8"/>
        <rFont val="宋体"/>
        <family val="3"/>
        <charset val="134"/>
      </rPr>
      <t>翟风杰</t>
    </r>
    <phoneticPr fontId="6" type="noConversion"/>
  </si>
  <si>
    <r>
      <rPr>
        <sz val="10"/>
        <color indexed="8"/>
        <rFont val="宋体"/>
        <family val="3"/>
        <charset val="134"/>
      </rPr>
      <t>王永</t>
    </r>
    <phoneticPr fontId="6" type="noConversion"/>
  </si>
  <si>
    <r>
      <rPr>
        <sz val="10"/>
        <color indexed="8"/>
        <rFont val="宋体"/>
        <family val="3"/>
        <charset val="134"/>
      </rPr>
      <t>刘风魁</t>
    </r>
  </si>
  <si>
    <r>
      <rPr>
        <sz val="10"/>
        <color rgb="FF000000"/>
        <rFont val="宋体"/>
        <family val="2"/>
        <charset val="134"/>
      </rPr>
      <t>张玉博</t>
    </r>
    <phoneticPr fontId="6" type="noConversion"/>
  </si>
  <si>
    <r>
      <rPr>
        <sz val="10"/>
        <color indexed="8"/>
        <rFont val="宋体"/>
        <family val="3"/>
        <charset val="134"/>
      </rPr>
      <t>刘丽艳</t>
    </r>
    <phoneticPr fontId="6" type="noConversion"/>
  </si>
  <si>
    <t>否</t>
  </si>
  <si>
    <r>
      <rPr>
        <sz val="10"/>
        <color indexed="8"/>
        <rFont val="宋体"/>
        <family val="3"/>
        <charset val="134"/>
      </rPr>
      <t>米清菊</t>
    </r>
    <phoneticPr fontId="6" type="noConversion"/>
  </si>
  <si>
    <t>是</t>
  </si>
  <si>
    <t>曹付云</t>
    <phoneticPr fontId="6" type="noConversion"/>
  </si>
  <si>
    <t>李淑华</t>
    <phoneticPr fontId="6" type="noConversion"/>
  </si>
  <si>
    <t>贾建丽</t>
    <phoneticPr fontId="6" type="noConversion"/>
  </si>
  <si>
    <t>刘海锋</t>
    <phoneticPr fontId="6" type="noConversion"/>
  </si>
  <si>
    <t>贾翠丽</t>
    <phoneticPr fontId="6" type="noConversion"/>
  </si>
  <si>
    <t>张引弟</t>
    <phoneticPr fontId="6" type="noConversion"/>
  </si>
  <si>
    <r>
      <rPr>
        <sz val="10"/>
        <color rgb="FF000000"/>
        <rFont val="宋体"/>
        <family val="2"/>
        <charset val="134"/>
      </rPr>
      <t>否</t>
    </r>
    <phoneticPr fontId="6" type="noConversion"/>
  </si>
  <si>
    <t>万晓莉</t>
    <phoneticPr fontId="6" type="noConversion"/>
  </si>
  <si>
    <r>
      <rPr>
        <sz val="10"/>
        <color rgb="FF000000"/>
        <rFont val="微软雅黑"/>
        <family val="2"/>
        <charset val="134"/>
      </rPr>
      <t>陈小红</t>
    </r>
    <phoneticPr fontId="6" type="noConversion"/>
  </si>
  <si>
    <r>
      <rPr>
        <sz val="10"/>
        <color rgb="FF000000"/>
        <rFont val="微软雅黑"/>
        <family val="2"/>
        <charset val="134"/>
      </rPr>
      <t>姜常玲</t>
    </r>
    <phoneticPr fontId="6" type="noConversion"/>
  </si>
  <si>
    <r>
      <rPr>
        <sz val="10"/>
        <color rgb="FF000000"/>
        <rFont val="微软雅黑"/>
        <family val="2"/>
        <charset val="134"/>
      </rPr>
      <t>李永丽</t>
    </r>
    <phoneticPr fontId="6" type="noConversion"/>
  </si>
  <si>
    <r>
      <rPr>
        <sz val="10"/>
        <color rgb="FF000000"/>
        <rFont val="宋体"/>
        <family val="3"/>
        <charset val="134"/>
      </rPr>
      <t>林伯新</t>
    </r>
    <phoneticPr fontId="6" type="noConversion"/>
  </si>
  <si>
    <r>
      <rPr>
        <sz val="10"/>
        <color rgb="FF000000"/>
        <rFont val="微软雅黑"/>
        <family val="2"/>
        <charset val="134"/>
      </rPr>
      <t>霍清海</t>
    </r>
    <phoneticPr fontId="6" type="noConversion"/>
  </si>
  <si>
    <r>
      <rPr>
        <sz val="10"/>
        <color rgb="FF000000"/>
        <rFont val="微软雅黑"/>
        <family val="2"/>
        <charset val="134"/>
      </rPr>
      <t>辛华</t>
    </r>
    <phoneticPr fontId="6" type="noConversion"/>
  </si>
  <si>
    <r>
      <rPr>
        <sz val="10"/>
        <color rgb="FF000000"/>
        <rFont val="宋体"/>
        <family val="3"/>
        <charset val="134"/>
      </rPr>
      <t>李金刚</t>
    </r>
    <phoneticPr fontId="6" type="noConversion"/>
  </si>
  <si>
    <r>
      <rPr>
        <sz val="10"/>
        <color rgb="FF000000"/>
        <rFont val="宋体"/>
        <family val="2"/>
        <charset val="134"/>
      </rPr>
      <t>含餐补</t>
    </r>
    <r>
      <rPr>
        <sz val="10"/>
        <color rgb="FF000000"/>
        <rFont val="Arial"/>
        <family val="2"/>
      </rPr>
      <t>31*15=465</t>
    </r>
    <phoneticPr fontId="6" type="noConversion"/>
  </si>
  <si>
    <r>
      <rPr>
        <sz val="10"/>
        <color indexed="8"/>
        <rFont val="宋体"/>
        <family val="3"/>
        <charset val="134"/>
      </rPr>
      <t>朱秀丽</t>
    </r>
    <phoneticPr fontId="6" type="noConversion"/>
  </si>
  <si>
    <t>否</t>
    <phoneticPr fontId="6" type="noConversion"/>
  </si>
  <si>
    <r>
      <rPr>
        <sz val="10"/>
        <color rgb="FF000000"/>
        <rFont val="微软雅黑"/>
        <family val="2"/>
        <charset val="134"/>
      </rPr>
      <t>余莉影</t>
    </r>
  </si>
  <si>
    <r>
      <rPr>
        <sz val="10"/>
        <color rgb="FF000000"/>
        <rFont val="宋体"/>
        <family val="2"/>
        <charset val="134"/>
      </rPr>
      <t>姓名</t>
    </r>
    <phoneticPr fontId="6" type="noConversion"/>
  </si>
  <si>
    <r>
      <rPr>
        <sz val="10"/>
        <color rgb="FF000000"/>
        <rFont val="宋体"/>
        <family val="2"/>
        <charset val="134"/>
      </rPr>
      <t>职位补贴</t>
    </r>
    <phoneticPr fontId="6" type="noConversion"/>
  </si>
  <si>
    <r>
      <rPr>
        <sz val="10"/>
        <color rgb="FF000000"/>
        <rFont val="宋体"/>
        <family val="2"/>
        <charset val="134"/>
      </rPr>
      <t>房</t>
    </r>
    <r>
      <rPr>
        <sz val="10"/>
        <color rgb="FF000000"/>
        <rFont val="Arial"/>
        <family val="2"/>
      </rPr>
      <t>/</t>
    </r>
    <r>
      <rPr>
        <sz val="10"/>
        <color rgb="FF000000"/>
        <rFont val="宋体"/>
        <family val="2"/>
        <charset val="134"/>
      </rPr>
      <t>车补</t>
    </r>
    <phoneticPr fontId="6" type="noConversion"/>
  </si>
  <si>
    <r>
      <rPr>
        <sz val="10"/>
        <color rgb="FF000000"/>
        <rFont val="宋体"/>
        <family val="2"/>
        <charset val="134"/>
      </rPr>
      <t>合计</t>
    </r>
    <phoneticPr fontId="6" type="noConversion"/>
  </si>
  <si>
    <r>
      <rPr>
        <sz val="10"/>
        <color rgb="FF000000"/>
        <rFont val="宋体"/>
        <family val="2"/>
        <charset val="134"/>
      </rPr>
      <t>工资表</t>
    </r>
    <phoneticPr fontId="6" type="noConversion"/>
  </si>
  <si>
    <r>
      <rPr>
        <sz val="10"/>
        <color rgb="FF000000"/>
        <rFont val="微软雅黑"/>
        <family val="2"/>
        <charset val="134"/>
      </rPr>
      <t>翟风杰</t>
    </r>
    <phoneticPr fontId="6" type="noConversion"/>
  </si>
  <si>
    <t>王永</t>
    <phoneticPr fontId="6" type="noConversion"/>
  </si>
  <si>
    <r>
      <rPr>
        <sz val="10"/>
        <color rgb="FF000000"/>
        <rFont val="宋体"/>
        <family val="2"/>
        <charset val="134"/>
      </rPr>
      <t>辛华</t>
    </r>
    <phoneticPr fontId="6" type="noConversion"/>
  </si>
  <si>
    <t>刘风魁</t>
    <phoneticPr fontId="6" type="noConversion"/>
  </si>
  <si>
    <t>刘丽艳</t>
    <phoneticPr fontId="6" type="noConversion"/>
  </si>
  <si>
    <t>米清菊</t>
    <phoneticPr fontId="6" type="noConversion"/>
  </si>
  <si>
    <r>
      <rPr>
        <sz val="10"/>
        <color rgb="FF000000"/>
        <rFont val="宋体"/>
        <family val="2"/>
        <charset val="134"/>
      </rPr>
      <t>张引娣</t>
    </r>
    <phoneticPr fontId="6" type="noConversion"/>
  </si>
  <si>
    <r>
      <rPr>
        <sz val="10"/>
        <color rgb="FF000000"/>
        <rFont val="宋体"/>
        <family val="2"/>
        <charset val="134"/>
      </rPr>
      <t>余莉影</t>
    </r>
    <phoneticPr fontId="6" type="noConversion"/>
  </si>
  <si>
    <r>
      <rPr>
        <sz val="10"/>
        <color rgb="FF000000"/>
        <rFont val="宋体"/>
        <family val="2"/>
        <charset val="134"/>
      </rPr>
      <t>曹付云</t>
    </r>
    <phoneticPr fontId="6" type="noConversion"/>
  </si>
  <si>
    <r>
      <rPr>
        <sz val="10"/>
        <color rgb="FF000000"/>
        <rFont val="宋体"/>
        <family val="2"/>
        <charset val="134"/>
      </rPr>
      <t>姜常玲</t>
    </r>
    <phoneticPr fontId="6" type="noConversion"/>
  </si>
  <si>
    <r>
      <rPr>
        <sz val="10"/>
        <color rgb="FF000000"/>
        <rFont val="宋体"/>
        <family val="2"/>
        <charset val="134"/>
      </rPr>
      <t>贾建丽</t>
    </r>
    <phoneticPr fontId="6" type="noConversion"/>
  </si>
  <si>
    <r>
      <rPr>
        <sz val="10"/>
        <color rgb="FF000000"/>
        <rFont val="宋体"/>
        <family val="2"/>
        <charset val="134"/>
      </rPr>
      <t>贾翠丽</t>
    </r>
    <phoneticPr fontId="6" type="noConversion"/>
  </si>
  <si>
    <r>
      <rPr>
        <sz val="10"/>
        <color rgb="FF000000"/>
        <rFont val="宋体"/>
        <family val="2"/>
        <charset val="134"/>
      </rPr>
      <t>刘海峰</t>
    </r>
    <phoneticPr fontId="6" type="noConversion"/>
  </si>
  <si>
    <r>
      <rPr>
        <sz val="10"/>
        <color rgb="FF000000"/>
        <rFont val="宋体"/>
        <family val="2"/>
        <charset val="134"/>
      </rPr>
      <t>李淑华</t>
    </r>
    <phoneticPr fontId="6" type="noConversion"/>
  </si>
  <si>
    <r>
      <rPr>
        <sz val="10"/>
        <color indexed="8"/>
        <rFont val="宋体"/>
        <family val="3"/>
        <charset val="134"/>
      </rPr>
      <t>徐经理</t>
    </r>
    <phoneticPr fontId="6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</si>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</sst>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yyyy/m/d;@"/>
    <numFmt numFmtId="177" formatCode="0.0"/>
    <numFmt numFmtId="178" formatCode="#,##0.0"/>
    <numFmt numFmtId="179" formatCode="0.00_);[Red]\(0.00\)"/>
    <numFmt numFmtId="181" formatCode="0.0_);[Red]\(0.0\)"/>
    <numFmt numFmtId="182" formatCode="#,##0&quot;天&quot;"/>
    <numFmt numFmtId="183" formatCode="&quot;共&quot;&quot;计&quot;\ 0&quot;人&quot;"/>
    <numFmt numFmtId="184" formatCode="&quot;平&quot;&quot;均&quot;&quot;工&quot;&quot;资&quot;\ 0"/>
    <numFmt numFmtId="185" formatCode="0.0%"/>
  </numFmts>
  <fonts count="13" x14ac:knownFonts="1"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8"/>
      <name val="Arial"/>
      <family val="2"/>
    </font>
    <font>
      <sz val="9"/>
      <name val="等线"/>
      <family val="2"/>
      <charset val="134"/>
      <scheme val="minor"/>
    </font>
    <font>
      <sz val="16"/>
      <color indexed="8"/>
      <name val="Arial"/>
      <family val="2"/>
    </font>
    <font>
      <sz val="16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0"/>
      <color rgb="FF000000"/>
      <name val="宋体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9" fillId="2" borderId="2" xfId="2" applyFont="1" applyFill="1" applyBorder="1" applyAlignment="1">
      <alignment horizontal="center" vertical="center"/>
    </xf>
    <xf numFmtId="3" fontId="2" fillId="2" borderId="2" xfId="2" applyNumberFormat="1" applyFont="1" applyFill="1" applyBorder="1" applyAlignment="1">
      <alignment horizontal="center" vertical="center"/>
    </xf>
    <xf numFmtId="0" fontId="9" fillId="2" borderId="2" xfId="2" applyFont="1" applyFill="1" applyBorder="1">
      <alignment vertical="center"/>
    </xf>
    <xf numFmtId="1" fontId="9" fillId="2" borderId="2" xfId="2" applyNumberFormat="1" applyFont="1" applyFill="1" applyBorder="1" applyAlignment="1">
      <alignment horizontal="center" vertical="center"/>
    </xf>
    <xf numFmtId="1" fontId="2" fillId="2" borderId="2" xfId="2" applyNumberFormat="1" applyFont="1" applyFill="1" applyBorder="1" applyAlignment="1">
      <alignment horizontal="center" vertical="center"/>
    </xf>
    <xf numFmtId="183" fontId="2" fillId="2" borderId="0" xfId="2" applyNumberFormat="1" applyFont="1" applyFill="1" applyBorder="1" applyAlignment="1">
      <alignment horizontal="center" vertical="center"/>
    </xf>
    <xf numFmtId="184" fontId="2" fillId="2" borderId="0" xfId="2" applyNumberFormat="1" applyFont="1" applyFill="1" applyBorder="1" applyAlignment="1">
      <alignment horizontal="center" vertical="center"/>
    </xf>
    <xf numFmtId="0" fontId="2" fillId="2" borderId="0" xfId="2" applyFont="1" applyFill="1">
      <alignment vertical="center"/>
    </xf>
    <xf numFmtId="176" fontId="4" fillId="2" borderId="1" xfId="2" quotePrefix="1" applyNumberFormat="1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right" vertical="center"/>
    </xf>
    <xf numFmtId="2" fontId="2" fillId="2" borderId="2" xfId="2" applyNumberFormat="1" applyFont="1" applyFill="1" applyBorder="1" applyAlignment="1">
      <alignment horizontal="center" vertical="center"/>
    </xf>
    <xf numFmtId="2" fontId="7" fillId="2" borderId="2" xfId="2" applyNumberFormat="1" applyFont="1" applyFill="1" applyBorder="1" applyAlignment="1">
      <alignment horizontal="center" vertical="center"/>
    </xf>
    <xf numFmtId="2" fontId="8" fillId="2" borderId="2" xfId="2" applyNumberFormat="1" applyFont="1" applyFill="1" applyBorder="1" applyAlignment="1">
      <alignment horizontal="center" vertical="center"/>
    </xf>
    <xf numFmtId="177" fontId="2" fillId="2" borderId="2" xfId="2" applyNumberFormat="1" applyFont="1" applyFill="1" applyBorder="1" applyAlignment="1">
      <alignment horizontal="centerContinuous" vertical="center"/>
    </xf>
    <xf numFmtId="178" fontId="2" fillId="2" borderId="2" xfId="2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>
      <alignment vertical="center"/>
    </xf>
    <xf numFmtId="177" fontId="2" fillId="2" borderId="2" xfId="2" applyNumberFormat="1" applyFont="1" applyFill="1" applyBorder="1" applyAlignment="1">
      <alignment horizontal="center" vertical="center"/>
    </xf>
    <xf numFmtId="2" fontId="9" fillId="2" borderId="2" xfId="2" applyNumberFormat="1" applyFont="1" applyFill="1" applyBorder="1" applyAlignment="1">
      <alignment horizontal="center" vertical="center"/>
    </xf>
    <xf numFmtId="179" fontId="2" fillId="2" borderId="2" xfId="2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left" vertical="center" shrinkToFit="1"/>
    </xf>
    <xf numFmtId="181" fontId="2" fillId="2" borderId="0" xfId="2" applyNumberFormat="1" applyFont="1" applyFill="1">
      <alignment vertical="center"/>
    </xf>
    <xf numFmtId="177" fontId="2" fillId="2" borderId="2" xfId="2" applyNumberFormat="1" applyFont="1" applyFill="1" applyBorder="1" applyAlignment="1">
      <alignment horizontal="center" vertical="center" wrapText="1"/>
    </xf>
    <xf numFmtId="177" fontId="9" fillId="2" borderId="2" xfId="2" applyNumberFormat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177" fontId="12" fillId="2" borderId="2" xfId="2" applyNumberFormat="1" applyFont="1" applyFill="1" applyBorder="1" applyAlignment="1">
      <alignment horizontal="center" vertical="center"/>
    </xf>
    <xf numFmtId="182" fontId="9" fillId="2" borderId="2" xfId="2" applyNumberFormat="1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left" vertical="center" shrinkToFit="1"/>
    </xf>
    <xf numFmtId="178" fontId="2" fillId="2" borderId="0" xfId="2" applyNumberFormat="1" applyFont="1" applyFill="1" applyAlignment="1">
      <alignment horizontal="center" vertical="center"/>
    </xf>
    <xf numFmtId="177" fontId="2" fillId="2" borderId="0" xfId="2" applyNumberFormat="1" applyFont="1" applyFill="1" applyAlignment="1">
      <alignment horizontal="center" vertical="center"/>
    </xf>
    <xf numFmtId="1" fontId="2" fillId="2" borderId="0" xfId="2" applyNumberFormat="1" applyFont="1" applyFill="1" applyBorder="1" applyAlignment="1">
      <alignment horizontal="center" vertical="center"/>
    </xf>
    <xf numFmtId="1" fontId="2" fillId="2" borderId="0" xfId="2" applyNumberFormat="1" applyFont="1" applyFill="1" applyAlignment="1">
      <alignment horizontal="center" vertical="center"/>
    </xf>
    <xf numFmtId="0" fontId="2" fillId="2" borderId="2" xfId="2" applyFont="1" applyFill="1" applyBorder="1">
      <alignment vertical="center"/>
    </xf>
    <xf numFmtId="0" fontId="2" fillId="2" borderId="0" xfId="2" applyFont="1" applyFill="1" applyBorder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0" fontId="8" fillId="2" borderId="0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" fontId="9" fillId="2" borderId="0" xfId="2" applyNumberFormat="1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9" fillId="2" borderId="0" xfId="2" applyFont="1" applyFill="1" applyBorder="1" applyAlignment="1">
      <alignment horizontal="center" vertical="center"/>
    </xf>
    <xf numFmtId="1" fontId="10" fillId="2" borderId="0" xfId="2" applyNumberFormat="1" applyFont="1" applyFill="1" applyBorder="1" applyAlignment="1">
      <alignment horizontal="center" vertical="center"/>
    </xf>
    <xf numFmtId="1" fontId="2" fillId="2" borderId="0" xfId="2" applyNumberFormat="1" applyFont="1" applyFill="1" applyBorder="1">
      <alignment vertical="center"/>
    </xf>
    <xf numFmtId="0" fontId="2" fillId="2" borderId="0" xfId="2" applyFont="1" applyFill="1" applyAlignment="1">
      <alignment horizontal="right" vertical="center"/>
    </xf>
    <xf numFmtId="185" fontId="2" fillId="2" borderId="0" xfId="1" applyNumberFormat="1" applyFont="1" applyFill="1">
      <alignment vertical="center"/>
    </xf>
  </cellXfs>
  <cellStyles count="3">
    <cellStyle name="百分比" xfId="1" builtinId="5"/>
    <cellStyle name="常规" xfId="0" builtinId="0"/>
    <cellStyle name="常规_佰顺4-8" xfId="2" xr:uid="{A99721A6-AF89-4738-8B4D-FBB44A772C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QF\Desktop\&#26032;&#24314;&#25991;&#20214;&#22841;%20(3)\&#24037;&#36164;&#34920;.xlsx" TargetMode="External"/><Relationship Id="rId1" Type="http://schemas.openxmlformats.org/officeDocument/2006/relationships/externalLinkPath" Target="&#26032;&#24314;&#25991;&#20214;&#22841;%20(3)/&#24037;&#36164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4314;&#25991;&#20214;&#22841;/&#31098;&#23500;&#23545;&#24080;&#213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4314;&#25991;&#20214;&#22841;/&#31098;&#23500;&#23545;&#24080;&#21333;11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.1"/>
      <sheetName val="22.2"/>
      <sheetName val="22.3"/>
      <sheetName val="22.4"/>
      <sheetName val="22.5"/>
      <sheetName val="22.6"/>
      <sheetName val="22.7"/>
      <sheetName val="22.8"/>
      <sheetName val="22.9"/>
      <sheetName val="22.10"/>
      <sheetName val="22.11"/>
      <sheetName val="22.12"/>
      <sheetName val="23.1"/>
      <sheetName val="23.2"/>
      <sheetName val="23.3"/>
      <sheetName val="23.4"/>
      <sheetName val="23.5"/>
      <sheetName val="23.6"/>
      <sheetName val="23.7"/>
      <sheetName val="23.8"/>
      <sheetName val="23.9"/>
      <sheetName val="23.10"/>
      <sheetName val="23.11"/>
      <sheetName val="23.12"/>
      <sheetName val="24.1"/>
      <sheetName val="24.2"/>
      <sheetName val="24.3"/>
      <sheetName val="24.4"/>
      <sheetName val="24.5"/>
      <sheetName val="24.6"/>
      <sheetName val="24.7"/>
      <sheetName val="24.8"/>
      <sheetName val="24.9"/>
      <sheetName val="24.10"/>
      <sheetName val="24.11"/>
      <sheetName val="24.12"/>
      <sheetName val="25.1"/>
      <sheetName val="25.2"/>
      <sheetName val="25.3"/>
      <sheetName val="扣款标准"/>
      <sheetName val="工资标准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打砂1109"/>
      <sheetName val="加工品1109"/>
      <sheetName val="Sheet1"/>
      <sheetName val="Sheet2"/>
      <sheetName val="Sheet3"/>
      <sheetName val="加工品1106耐迪"/>
      <sheetName val="打砂"/>
      <sheetName val="加工品1102 (2)"/>
      <sheetName val="浸渗发票1304廊坊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加工品"/>
      <sheetName val="打砂"/>
      <sheetName val="Sheet1"/>
      <sheetName val="Sheet2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5B04-35A3-4718-8C44-27CA4868292C}">
  <dimension ref="A1:IG829"/>
  <sheetViews>
    <sheetView tabSelected="1" zoomScale="95" zoomScaleNormal="95" zoomScaleSheetLayoutView="100" workbookViewId="0">
      <pane xSplit="2" ySplit="2" topLeftCell="C3" activePane="bottomRight" state="frozen"/>
      <selection pane="topRight"/>
      <selection pane="bottomLeft"/>
      <selection pane="bottomRight" activeCell="D8" sqref="D8"/>
    </sheetView>
  </sheetViews>
  <sheetFormatPr defaultColWidth="9" defaultRowHeight="12.75" x14ac:dyDescent="0.15"/>
  <cols>
    <col min="1" max="1" width="5.125" style="8" customWidth="1"/>
    <col min="2" max="2" width="14" style="8" customWidth="1"/>
    <col min="3" max="3" width="8" style="51" bestFit="1" customWidth="1"/>
    <col min="4" max="4" width="8" style="51" customWidth="1"/>
    <col min="5" max="6" width="9.5" style="8" customWidth="1"/>
    <col min="7" max="7" width="8.25" style="8" customWidth="1"/>
    <col min="8" max="8" width="9.25" style="8" bestFit="1" customWidth="1"/>
    <col min="9" max="9" width="9.25" style="8" customWidth="1"/>
    <col min="10" max="10" width="9.25" style="8" bestFit="1" customWidth="1"/>
    <col min="11" max="11" width="9.25" style="8" customWidth="1"/>
    <col min="12" max="12" width="11.125" style="8" bestFit="1" customWidth="1"/>
    <col min="13" max="13" width="8" style="8" bestFit="1" customWidth="1"/>
    <col min="14" max="14" width="10.25" style="8" customWidth="1"/>
    <col min="15" max="15" width="9.375" style="8" bestFit="1" customWidth="1"/>
    <col min="16" max="16" width="12.875" style="8" bestFit="1" customWidth="1"/>
    <col min="17" max="17" width="11.25" style="8" customWidth="1"/>
    <col min="18" max="18" width="14.875" style="8" bestFit="1" customWidth="1"/>
    <col min="19" max="19" width="3.125" style="11" bestFit="1" customWidth="1"/>
    <col min="20" max="20" width="6.625" style="8" customWidth="1"/>
    <col min="21" max="22" width="4.875" style="8" customWidth="1"/>
    <col min="23" max="23" width="4" style="8" customWidth="1"/>
    <col min="24" max="24" width="6" style="8" customWidth="1"/>
    <col min="25" max="25" width="8.125" style="8" customWidth="1"/>
    <col min="26" max="26" width="7.25" style="8" customWidth="1"/>
    <col min="27" max="225" width="9" style="8" customWidth="1"/>
    <col min="226" max="233" width="9" style="12" customWidth="1"/>
    <col min="234" max="16384" width="9" style="12"/>
  </cols>
  <sheetData>
    <row r="1" spans="1:241" ht="37.5" customHeight="1" x14ac:dyDescent="0.15">
      <c r="B1" s="9" t="s">
        <v>0</v>
      </c>
      <c r="C1" s="9"/>
      <c r="D1" s="9"/>
      <c r="E1" s="9"/>
      <c r="F1" s="10"/>
      <c r="T1" s="8">
        <v>100</v>
      </c>
      <c r="U1" s="8">
        <v>50</v>
      </c>
      <c r="V1" s="8">
        <v>10</v>
      </c>
      <c r="W1" s="8">
        <v>5</v>
      </c>
      <c r="X1" s="8">
        <v>1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</row>
    <row r="2" spans="1:241" ht="27" customHeight="1" x14ac:dyDescent="0.15">
      <c r="A2" s="13" t="s">
        <v>1</v>
      </c>
      <c r="B2" s="13" t="s">
        <v>2</v>
      </c>
      <c r="C2" s="14" t="s">
        <v>3</v>
      </c>
      <c r="D2" s="14" t="s">
        <v>4</v>
      </c>
      <c r="E2" s="5" t="s">
        <v>5</v>
      </c>
      <c r="F2" s="15" t="s">
        <v>6</v>
      </c>
      <c r="G2" s="15" t="s">
        <v>7</v>
      </c>
      <c r="H2" s="16" t="s">
        <v>8</v>
      </c>
      <c r="I2" s="16" t="s">
        <v>9</v>
      </c>
      <c r="J2" s="17" t="s">
        <v>10</v>
      </c>
      <c r="K2" s="17" t="s">
        <v>11</v>
      </c>
      <c r="L2" s="15" t="s">
        <v>12</v>
      </c>
      <c r="M2" s="18" t="s">
        <v>13</v>
      </c>
      <c r="N2" s="15" t="s">
        <v>14</v>
      </c>
      <c r="O2" s="15" t="s">
        <v>15</v>
      </c>
      <c r="P2" s="19" t="s">
        <v>16</v>
      </c>
      <c r="Q2" s="13" t="s">
        <v>17</v>
      </c>
      <c r="R2" s="13" t="s">
        <v>18</v>
      </c>
      <c r="S2" s="20"/>
      <c r="T2" s="8">
        <v>100</v>
      </c>
      <c r="U2" s="8">
        <v>50</v>
      </c>
      <c r="V2" s="8">
        <v>10</v>
      </c>
      <c r="W2" s="8">
        <v>5</v>
      </c>
      <c r="X2" s="8">
        <v>1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</row>
    <row r="3" spans="1:241" ht="27" customHeight="1" x14ac:dyDescent="0.15">
      <c r="A3" s="13">
        <v>1</v>
      </c>
      <c r="B3" s="13" t="s">
        <v>19</v>
      </c>
      <c r="C3" s="21">
        <v>30</v>
      </c>
      <c r="D3" s="21">
        <v>9</v>
      </c>
      <c r="E3" s="5"/>
      <c r="F3" s="15"/>
      <c r="G3" s="15">
        <v>100</v>
      </c>
      <c r="H3" s="22"/>
      <c r="I3" s="22"/>
      <c r="J3" s="22"/>
      <c r="K3" s="22"/>
      <c r="L3" s="15"/>
      <c r="M3" s="23"/>
      <c r="N3" s="24" t="s">
        <v>20</v>
      </c>
      <c r="O3" s="15"/>
      <c r="P3" s="25">
        <v>2000</v>
      </c>
      <c r="Q3" s="23"/>
      <c r="R3" s="23"/>
      <c r="S3" s="26" t="s">
        <v>21</v>
      </c>
      <c r="T3" s="8">
        <f t="shared" ref="T3:T23" si="0">INT(P3/100)</f>
        <v>20</v>
      </c>
      <c r="U3" s="8">
        <f t="shared" ref="U3:U23" si="1">INT((P3-T3*100)/50)</f>
        <v>0</v>
      </c>
      <c r="V3" s="8">
        <f t="shared" ref="V3:V23" si="2">INT((P3-T3*100-U3*50)/10)</f>
        <v>0</v>
      </c>
      <c r="W3" s="8">
        <f t="shared" ref="W3:W23" si="3">INT((P3-T3*100-U3*50-V3*10)/5)</f>
        <v>0</v>
      </c>
      <c r="X3" s="8">
        <f t="shared" ref="X3:X23" si="4">INT(P3-T3*100-U3*50-V3*10-W3*5)</f>
        <v>0</v>
      </c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</row>
    <row r="4" spans="1:241" ht="27" customHeight="1" x14ac:dyDescent="0.15">
      <c r="A4" s="13">
        <v>2</v>
      </c>
      <c r="B4" s="13" t="s">
        <v>22</v>
      </c>
      <c r="C4" s="21">
        <v>29</v>
      </c>
      <c r="D4" s="21">
        <v>3</v>
      </c>
      <c r="E4" s="5"/>
      <c r="F4" s="15"/>
      <c r="G4" s="15">
        <v>100</v>
      </c>
      <c r="H4" s="22">
        <v>10</v>
      </c>
      <c r="I4" s="22"/>
      <c r="J4" s="22"/>
      <c r="K4" s="23"/>
      <c r="L4" s="15"/>
      <c r="M4" s="23"/>
      <c r="N4" s="24" t="s">
        <v>20</v>
      </c>
      <c r="O4" s="15"/>
      <c r="P4" s="25">
        <f>ROUND(6500+K4,0)</f>
        <v>6500</v>
      </c>
      <c r="Q4" s="23"/>
      <c r="R4" s="23"/>
      <c r="S4" s="26" t="s">
        <v>21</v>
      </c>
      <c r="T4" s="8">
        <f t="shared" si="0"/>
        <v>65</v>
      </c>
      <c r="U4" s="8">
        <f t="shared" si="1"/>
        <v>0</v>
      </c>
      <c r="V4" s="8">
        <f t="shared" si="2"/>
        <v>0</v>
      </c>
      <c r="W4" s="8">
        <f t="shared" si="3"/>
        <v>0</v>
      </c>
      <c r="X4" s="8">
        <f t="shared" si="4"/>
        <v>0</v>
      </c>
    </row>
    <row r="5" spans="1:241" ht="27" customHeight="1" x14ac:dyDescent="0.15">
      <c r="A5" s="13">
        <v>3</v>
      </c>
      <c r="B5" s="13" t="s">
        <v>23</v>
      </c>
      <c r="C5" s="21">
        <v>30</v>
      </c>
      <c r="D5" s="21">
        <v>9</v>
      </c>
      <c r="E5" s="5">
        <f>5250/31*C5</f>
        <v>5080.645161290322</v>
      </c>
      <c r="F5" s="15">
        <f>5250/31/11*D5</f>
        <v>138.56304985337243</v>
      </c>
      <c r="G5" s="15">
        <v>100</v>
      </c>
      <c r="H5" s="22">
        <v>10</v>
      </c>
      <c r="I5" s="22">
        <f>+H5*15</f>
        <v>150</v>
      </c>
      <c r="J5" s="22"/>
      <c r="K5" s="23"/>
      <c r="L5" s="15">
        <v>800</v>
      </c>
      <c r="M5" s="23">
        <f>C5*L5/31+D5*L5/31/11</f>
        <v>795.30791788856311</v>
      </c>
      <c r="N5" s="24" t="s">
        <v>20</v>
      </c>
      <c r="O5" s="15"/>
      <c r="P5" s="25">
        <f t="shared" ref="P5:P23" si="5">ROUND(F5+G5+E5+M5+I5+K5-O5,0)</f>
        <v>6265</v>
      </c>
      <c r="Q5" s="23"/>
      <c r="R5" s="23"/>
      <c r="S5" s="26" t="s">
        <v>21</v>
      </c>
      <c r="T5" s="8">
        <f t="shared" si="0"/>
        <v>62</v>
      </c>
      <c r="U5" s="8">
        <f t="shared" si="1"/>
        <v>1</v>
      </c>
      <c r="V5" s="8">
        <f t="shared" si="2"/>
        <v>1</v>
      </c>
      <c r="W5" s="8">
        <f t="shared" si="3"/>
        <v>1</v>
      </c>
      <c r="X5" s="8">
        <f t="shared" si="4"/>
        <v>0</v>
      </c>
      <c r="Y5" s="27"/>
    </row>
    <row r="6" spans="1:241" ht="24" customHeight="1" x14ac:dyDescent="0.15">
      <c r="A6" s="13">
        <v>4</v>
      </c>
      <c r="B6" s="13" t="s">
        <v>24</v>
      </c>
      <c r="C6" s="21">
        <v>30</v>
      </c>
      <c r="D6" s="21">
        <v>0.5</v>
      </c>
      <c r="E6" s="5">
        <f t="shared" ref="E6:E9" si="6">5250/31*C6</f>
        <v>5080.645161290322</v>
      </c>
      <c r="F6" s="15">
        <f t="shared" ref="F6:F9" si="7">5250/31/11*D6</f>
        <v>7.6979472140762457</v>
      </c>
      <c r="G6" s="15">
        <v>100</v>
      </c>
      <c r="H6" s="22">
        <v>9</v>
      </c>
      <c r="I6" s="22">
        <f t="shared" ref="I6:I9" si="8">+H6*15</f>
        <v>135</v>
      </c>
      <c r="J6" s="22"/>
      <c r="K6" s="23"/>
      <c r="L6" s="15">
        <v>800</v>
      </c>
      <c r="M6" s="23">
        <f t="shared" ref="M6:M25" si="9">C6*L6/31+D6*L6/31/11</f>
        <v>775.36656891495602</v>
      </c>
      <c r="N6" s="24" t="s">
        <v>20</v>
      </c>
      <c r="O6" s="15"/>
      <c r="P6" s="25">
        <f t="shared" si="5"/>
        <v>6099</v>
      </c>
      <c r="Q6" s="23"/>
      <c r="R6" s="28"/>
      <c r="S6" s="26" t="s">
        <v>21</v>
      </c>
      <c r="T6" s="8">
        <f t="shared" si="0"/>
        <v>60</v>
      </c>
      <c r="U6" s="8">
        <f t="shared" si="1"/>
        <v>1</v>
      </c>
      <c r="V6" s="8">
        <f t="shared" si="2"/>
        <v>4</v>
      </c>
      <c r="W6" s="8">
        <f t="shared" si="3"/>
        <v>1</v>
      </c>
      <c r="X6" s="8">
        <f t="shared" si="4"/>
        <v>4</v>
      </c>
      <c r="Y6" s="27"/>
    </row>
    <row r="7" spans="1:241" ht="27" customHeight="1" x14ac:dyDescent="0.15">
      <c r="A7" s="13">
        <v>5</v>
      </c>
      <c r="B7" s="1" t="s">
        <v>25</v>
      </c>
      <c r="C7" s="21">
        <v>29</v>
      </c>
      <c r="D7" s="21">
        <v>6.5</v>
      </c>
      <c r="E7" s="5">
        <f t="shared" si="6"/>
        <v>4911.2903225806449</v>
      </c>
      <c r="F7" s="15">
        <f t="shared" si="7"/>
        <v>100.07331378299119</v>
      </c>
      <c r="G7" s="15">
        <v>100</v>
      </c>
      <c r="H7" s="22">
        <v>11</v>
      </c>
      <c r="I7" s="22">
        <f t="shared" si="8"/>
        <v>165</v>
      </c>
      <c r="J7" s="22"/>
      <c r="K7" s="23"/>
      <c r="L7" s="15">
        <v>800</v>
      </c>
      <c r="M7" s="23">
        <f t="shared" si="9"/>
        <v>763.63636363636363</v>
      </c>
      <c r="N7" s="24" t="s">
        <v>20</v>
      </c>
      <c r="O7" s="15"/>
      <c r="P7" s="25">
        <f t="shared" si="5"/>
        <v>6040</v>
      </c>
      <c r="Q7" s="23"/>
      <c r="R7" s="28"/>
      <c r="S7" s="26" t="s">
        <v>21</v>
      </c>
      <c r="T7" s="8">
        <f t="shared" si="0"/>
        <v>60</v>
      </c>
      <c r="U7" s="8">
        <f t="shared" si="1"/>
        <v>0</v>
      </c>
      <c r="V7" s="8">
        <f t="shared" si="2"/>
        <v>4</v>
      </c>
      <c r="W7" s="8">
        <f t="shared" si="3"/>
        <v>0</v>
      </c>
      <c r="X7" s="8">
        <f t="shared" si="4"/>
        <v>0</v>
      </c>
      <c r="Y7" s="27"/>
    </row>
    <row r="8" spans="1:241" ht="27" customHeight="1" x14ac:dyDescent="0.15">
      <c r="A8" s="13">
        <v>6</v>
      </c>
      <c r="B8" s="13" t="s">
        <v>26</v>
      </c>
      <c r="C8" s="21">
        <v>29</v>
      </c>
      <c r="D8" s="21">
        <v>6</v>
      </c>
      <c r="E8" s="5">
        <f t="shared" si="6"/>
        <v>4911.2903225806449</v>
      </c>
      <c r="F8" s="15">
        <f t="shared" si="7"/>
        <v>92.375366568914956</v>
      </c>
      <c r="G8" s="15">
        <v>100</v>
      </c>
      <c r="H8" s="22">
        <v>10</v>
      </c>
      <c r="I8" s="22">
        <f t="shared" si="8"/>
        <v>150</v>
      </c>
      <c r="J8" s="22"/>
      <c r="K8" s="22"/>
      <c r="L8" s="15">
        <v>800</v>
      </c>
      <c r="M8" s="23">
        <f t="shared" si="9"/>
        <v>762.46334310850443</v>
      </c>
      <c r="N8" s="15" t="s">
        <v>27</v>
      </c>
      <c r="O8" s="15"/>
      <c r="P8" s="25">
        <f t="shared" si="5"/>
        <v>6016</v>
      </c>
      <c r="Q8" s="23"/>
      <c r="R8" s="23"/>
      <c r="S8" s="26" t="s">
        <v>21</v>
      </c>
      <c r="T8" s="8">
        <f t="shared" si="0"/>
        <v>60</v>
      </c>
      <c r="U8" s="8">
        <f t="shared" si="1"/>
        <v>0</v>
      </c>
      <c r="V8" s="8">
        <f t="shared" si="2"/>
        <v>1</v>
      </c>
      <c r="W8" s="8">
        <f t="shared" si="3"/>
        <v>1</v>
      </c>
      <c r="X8" s="8">
        <f t="shared" si="4"/>
        <v>1</v>
      </c>
      <c r="Y8" s="27"/>
    </row>
    <row r="9" spans="1:241" ht="27" customHeight="1" x14ac:dyDescent="0.15">
      <c r="A9" s="13">
        <v>7</v>
      </c>
      <c r="B9" s="13" t="s">
        <v>28</v>
      </c>
      <c r="C9" s="21">
        <v>29</v>
      </c>
      <c r="D9" s="21">
        <v>9</v>
      </c>
      <c r="E9" s="5">
        <f t="shared" si="6"/>
        <v>4911.2903225806449</v>
      </c>
      <c r="F9" s="15">
        <f t="shared" si="7"/>
        <v>138.56304985337243</v>
      </c>
      <c r="G9" s="15">
        <v>100</v>
      </c>
      <c r="H9" s="22">
        <v>4</v>
      </c>
      <c r="I9" s="22">
        <f t="shared" si="8"/>
        <v>60</v>
      </c>
      <c r="J9" s="22"/>
      <c r="K9" s="22"/>
      <c r="L9" s="15">
        <v>800</v>
      </c>
      <c r="M9" s="23">
        <f t="shared" si="9"/>
        <v>769.50146627565982</v>
      </c>
      <c r="N9" s="15" t="s">
        <v>29</v>
      </c>
      <c r="O9" s="15"/>
      <c r="P9" s="25">
        <f t="shared" si="5"/>
        <v>5979</v>
      </c>
      <c r="Q9" s="23"/>
      <c r="R9" s="29"/>
      <c r="S9" s="26" t="s">
        <v>21</v>
      </c>
      <c r="T9" s="8">
        <f t="shared" si="0"/>
        <v>59</v>
      </c>
      <c r="U9" s="8">
        <f t="shared" si="1"/>
        <v>1</v>
      </c>
      <c r="V9" s="8">
        <f t="shared" si="2"/>
        <v>2</v>
      </c>
      <c r="W9" s="8">
        <f t="shared" si="3"/>
        <v>1</v>
      </c>
      <c r="X9" s="8">
        <f t="shared" si="4"/>
        <v>4</v>
      </c>
      <c r="Y9" s="27"/>
    </row>
    <row r="10" spans="1:241" s="8" customFormat="1" ht="27" customHeight="1" x14ac:dyDescent="0.15">
      <c r="A10" s="13">
        <v>8</v>
      </c>
      <c r="B10" s="30" t="s">
        <v>30</v>
      </c>
      <c r="C10" s="21">
        <v>28</v>
      </c>
      <c r="D10" s="21">
        <v>9</v>
      </c>
      <c r="E10" s="5">
        <f>4180/31*C10</f>
        <v>3775.483870967742</v>
      </c>
      <c r="F10" s="15">
        <f>4180/31/11*D10</f>
        <v>110.32258064516128</v>
      </c>
      <c r="G10" s="15">
        <v>100</v>
      </c>
      <c r="H10" s="22">
        <v>10</v>
      </c>
      <c r="I10" s="22">
        <f>+H10*15</f>
        <v>150</v>
      </c>
      <c r="J10" s="22"/>
      <c r="K10" s="22"/>
      <c r="L10" s="15">
        <v>1816</v>
      </c>
      <c r="M10" s="23">
        <f t="shared" si="9"/>
        <v>1688.1876832844575</v>
      </c>
      <c r="N10" s="15" t="s">
        <v>29</v>
      </c>
      <c r="O10" s="15"/>
      <c r="P10" s="25">
        <f t="shared" si="5"/>
        <v>5824</v>
      </c>
      <c r="Q10" s="23"/>
      <c r="R10" s="23"/>
      <c r="S10" s="26">
        <v>5</v>
      </c>
      <c r="T10" s="8">
        <f t="shared" si="0"/>
        <v>58</v>
      </c>
      <c r="U10" s="8">
        <f t="shared" si="1"/>
        <v>0</v>
      </c>
      <c r="V10" s="8">
        <f t="shared" si="2"/>
        <v>2</v>
      </c>
      <c r="W10" s="8">
        <f t="shared" si="3"/>
        <v>0</v>
      </c>
      <c r="X10" s="8">
        <f t="shared" si="4"/>
        <v>4</v>
      </c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</row>
    <row r="11" spans="1:241" s="8" customFormat="1" ht="27" customHeight="1" x14ac:dyDescent="0.15">
      <c r="A11" s="13">
        <v>9</v>
      </c>
      <c r="B11" s="30" t="s">
        <v>31</v>
      </c>
      <c r="C11" s="21">
        <v>28</v>
      </c>
      <c r="D11" s="21">
        <v>9</v>
      </c>
      <c r="E11" s="5">
        <f t="shared" ref="E11:E24" si="10">4180/31*C11</f>
        <v>3775.483870967742</v>
      </c>
      <c r="F11" s="15">
        <f t="shared" ref="F11:F24" si="11">4180/31/11*D11</f>
        <v>110.32258064516128</v>
      </c>
      <c r="G11" s="15">
        <v>100</v>
      </c>
      <c r="H11" s="22">
        <v>10</v>
      </c>
      <c r="I11" s="22">
        <f t="shared" ref="I11:I24" si="12">+H11*15</f>
        <v>150</v>
      </c>
      <c r="J11" s="22"/>
      <c r="K11" s="22"/>
      <c r="L11" s="15">
        <f>477+800</f>
        <v>1277</v>
      </c>
      <c r="M11" s="23">
        <f t="shared" si="9"/>
        <v>1187.1231671554253</v>
      </c>
      <c r="N11" s="15" t="s">
        <v>29</v>
      </c>
      <c r="O11" s="15"/>
      <c r="P11" s="25">
        <f t="shared" si="5"/>
        <v>5323</v>
      </c>
      <c r="Q11" s="23"/>
      <c r="R11" s="23"/>
      <c r="S11" s="26">
        <v>2</v>
      </c>
      <c r="T11" s="8">
        <f t="shared" si="0"/>
        <v>53</v>
      </c>
      <c r="U11" s="8">
        <f t="shared" si="1"/>
        <v>0</v>
      </c>
      <c r="V11" s="8">
        <f t="shared" si="2"/>
        <v>2</v>
      </c>
      <c r="W11" s="8">
        <f t="shared" si="3"/>
        <v>0</v>
      </c>
      <c r="X11" s="8">
        <f t="shared" si="4"/>
        <v>3</v>
      </c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</row>
    <row r="12" spans="1:241" s="8" customFormat="1" ht="27" customHeight="1" x14ac:dyDescent="0.15">
      <c r="A12" s="13">
        <v>10</v>
      </c>
      <c r="B12" s="30" t="s">
        <v>32</v>
      </c>
      <c r="C12" s="21">
        <v>28</v>
      </c>
      <c r="D12" s="21">
        <v>9</v>
      </c>
      <c r="E12" s="5">
        <f t="shared" si="10"/>
        <v>3775.483870967742</v>
      </c>
      <c r="F12" s="15">
        <f t="shared" si="11"/>
        <v>110.32258064516128</v>
      </c>
      <c r="G12" s="15">
        <v>100</v>
      </c>
      <c r="H12" s="22">
        <v>10</v>
      </c>
      <c r="I12" s="22">
        <f t="shared" si="12"/>
        <v>150</v>
      </c>
      <c r="J12" s="22"/>
      <c r="K12" s="22"/>
      <c r="L12" s="15">
        <f>325+900</f>
        <v>1225</v>
      </c>
      <c r="M12" s="23">
        <f t="shared" si="9"/>
        <v>1138.782991202346</v>
      </c>
      <c r="N12" s="15" t="s">
        <v>27</v>
      </c>
      <c r="O12" s="15"/>
      <c r="P12" s="25">
        <f t="shared" si="5"/>
        <v>5275</v>
      </c>
      <c r="Q12" s="23"/>
      <c r="R12" s="29"/>
      <c r="S12" s="26">
        <v>9</v>
      </c>
      <c r="T12" s="8">
        <f t="shared" si="0"/>
        <v>52</v>
      </c>
      <c r="U12" s="8">
        <f t="shared" si="1"/>
        <v>1</v>
      </c>
      <c r="V12" s="8">
        <f t="shared" si="2"/>
        <v>2</v>
      </c>
      <c r="W12" s="8">
        <f t="shared" si="3"/>
        <v>1</v>
      </c>
      <c r="X12" s="8">
        <f t="shared" si="4"/>
        <v>0</v>
      </c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</row>
    <row r="13" spans="1:241" s="8" customFormat="1" ht="27" customHeight="1" x14ac:dyDescent="0.15">
      <c r="A13" s="13">
        <v>11</v>
      </c>
      <c r="B13" s="30" t="s">
        <v>33</v>
      </c>
      <c r="C13" s="21">
        <v>28</v>
      </c>
      <c r="D13" s="21">
        <v>7</v>
      </c>
      <c r="E13" s="5">
        <f t="shared" si="10"/>
        <v>3775.483870967742</v>
      </c>
      <c r="F13" s="15">
        <f t="shared" si="11"/>
        <v>85.806451612903231</v>
      </c>
      <c r="G13" s="15">
        <v>100</v>
      </c>
      <c r="H13" s="22">
        <v>10</v>
      </c>
      <c r="I13" s="22">
        <f t="shared" si="12"/>
        <v>150</v>
      </c>
      <c r="J13" s="22"/>
      <c r="K13" s="22"/>
      <c r="L13" s="15">
        <f>601+800</f>
        <v>1401</v>
      </c>
      <c r="M13" s="23">
        <f t="shared" si="9"/>
        <v>1294.1788856304986</v>
      </c>
      <c r="N13" s="15" t="s">
        <v>29</v>
      </c>
      <c r="O13" s="15"/>
      <c r="P13" s="25">
        <f t="shared" si="5"/>
        <v>5405</v>
      </c>
      <c r="Q13" s="23"/>
      <c r="R13" s="28"/>
      <c r="S13" s="26">
        <v>21</v>
      </c>
      <c r="T13" s="8">
        <f t="shared" si="0"/>
        <v>54</v>
      </c>
      <c r="U13" s="8">
        <f t="shared" si="1"/>
        <v>0</v>
      </c>
      <c r="V13" s="8">
        <f t="shared" si="2"/>
        <v>0</v>
      </c>
      <c r="W13" s="8">
        <f t="shared" si="3"/>
        <v>1</v>
      </c>
      <c r="X13" s="8">
        <f t="shared" si="4"/>
        <v>0</v>
      </c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</row>
    <row r="14" spans="1:241" s="8" customFormat="1" ht="27" customHeight="1" x14ac:dyDescent="0.15">
      <c r="A14" s="13">
        <v>12</v>
      </c>
      <c r="B14" s="30" t="s">
        <v>34</v>
      </c>
      <c r="C14" s="21">
        <v>27</v>
      </c>
      <c r="D14" s="21">
        <v>9</v>
      </c>
      <c r="E14" s="5">
        <f t="shared" si="10"/>
        <v>3640.6451612903229</v>
      </c>
      <c r="F14" s="15">
        <f t="shared" si="11"/>
        <v>110.32258064516128</v>
      </c>
      <c r="G14" s="15">
        <v>100</v>
      </c>
      <c r="H14" s="22">
        <v>10</v>
      </c>
      <c r="I14" s="22">
        <f t="shared" si="12"/>
        <v>150</v>
      </c>
      <c r="J14" s="22"/>
      <c r="K14" s="22"/>
      <c r="L14" s="15">
        <f>601+800</f>
        <v>1401</v>
      </c>
      <c r="M14" s="23">
        <f t="shared" si="9"/>
        <v>1257.2023460410558</v>
      </c>
      <c r="N14" s="15" t="s">
        <v>29</v>
      </c>
      <c r="O14" s="15"/>
      <c r="P14" s="25">
        <f t="shared" si="5"/>
        <v>5258</v>
      </c>
      <c r="Q14" s="23"/>
      <c r="R14" s="28"/>
      <c r="S14" s="26">
        <v>21</v>
      </c>
      <c r="T14" s="8">
        <f t="shared" si="0"/>
        <v>52</v>
      </c>
      <c r="U14" s="8">
        <f t="shared" si="1"/>
        <v>1</v>
      </c>
      <c r="V14" s="8">
        <f t="shared" si="2"/>
        <v>0</v>
      </c>
      <c r="W14" s="8">
        <f t="shared" si="3"/>
        <v>1</v>
      </c>
      <c r="X14" s="8">
        <f t="shared" si="4"/>
        <v>3</v>
      </c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</row>
    <row r="15" spans="1:241" s="8" customFormat="1" ht="27" customHeight="1" x14ac:dyDescent="0.15">
      <c r="A15" s="13">
        <v>13</v>
      </c>
      <c r="B15" s="30" t="s">
        <v>35</v>
      </c>
      <c r="C15" s="21">
        <v>28</v>
      </c>
      <c r="D15" s="21">
        <v>9</v>
      </c>
      <c r="E15" s="5">
        <f t="shared" si="10"/>
        <v>3775.483870967742</v>
      </c>
      <c r="F15" s="15">
        <f t="shared" si="11"/>
        <v>110.32258064516128</v>
      </c>
      <c r="G15" s="15">
        <v>100</v>
      </c>
      <c r="H15" s="22">
        <v>10</v>
      </c>
      <c r="I15" s="22">
        <f t="shared" si="12"/>
        <v>150</v>
      </c>
      <c r="J15" s="22"/>
      <c r="K15" s="22"/>
      <c r="L15" s="15">
        <v>2197</v>
      </c>
      <c r="M15" s="23">
        <f t="shared" si="9"/>
        <v>2042.3724340175954</v>
      </c>
      <c r="N15" s="24" t="s">
        <v>36</v>
      </c>
      <c r="O15" s="15"/>
      <c r="P15" s="25">
        <f t="shared" si="5"/>
        <v>6178</v>
      </c>
      <c r="Q15" s="23"/>
      <c r="R15" s="28"/>
      <c r="S15" s="26">
        <v>4</v>
      </c>
      <c r="T15" s="8">
        <f t="shared" si="0"/>
        <v>61</v>
      </c>
      <c r="U15" s="8">
        <f t="shared" si="1"/>
        <v>1</v>
      </c>
      <c r="V15" s="8">
        <f t="shared" si="2"/>
        <v>2</v>
      </c>
      <c r="W15" s="8">
        <f t="shared" si="3"/>
        <v>1</v>
      </c>
      <c r="X15" s="8">
        <f t="shared" si="4"/>
        <v>3</v>
      </c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</row>
    <row r="16" spans="1:241" s="8" customFormat="1" ht="27" customHeight="1" x14ac:dyDescent="0.15">
      <c r="A16" s="13">
        <v>14</v>
      </c>
      <c r="B16" s="30" t="s">
        <v>37</v>
      </c>
      <c r="C16" s="21">
        <v>27</v>
      </c>
      <c r="D16" s="21">
        <v>9</v>
      </c>
      <c r="E16" s="5">
        <f t="shared" si="10"/>
        <v>3640.6451612903229</v>
      </c>
      <c r="F16" s="15">
        <f t="shared" si="11"/>
        <v>110.32258064516128</v>
      </c>
      <c r="G16" s="15">
        <v>100</v>
      </c>
      <c r="H16" s="22">
        <v>10</v>
      </c>
      <c r="I16" s="22">
        <f t="shared" si="12"/>
        <v>150</v>
      </c>
      <c r="J16" s="22"/>
      <c r="K16" s="22"/>
      <c r="L16" s="15">
        <f>1075+500</f>
        <v>1575</v>
      </c>
      <c r="M16" s="23">
        <f t="shared" si="9"/>
        <v>1413.3431085043987</v>
      </c>
      <c r="N16" s="15" t="s">
        <v>29</v>
      </c>
      <c r="O16" s="15"/>
      <c r="P16" s="25">
        <f t="shared" si="5"/>
        <v>5414</v>
      </c>
      <c r="Q16" s="23"/>
      <c r="R16" s="28"/>
      <c r="S16" s="26">
        <v>16</v>
      </c>
      <c r="T16" s="8">
        <f t="shared" si="0"/>
        <v>54</v>
      </c>
      <c r="U16" s="8">
        <f t="shared" si="1"/>
        <v>0</v>
      </c>
      <c r="V16" s="8">
        <f t="shared" si="2"/>
        <v>1</v>
      </c>
      <c r="W16" s="8">
        <f t="shared" si="3"/>
        <v>0</v>
      </c>
      <c r="X16" s="8">
        <f t="shared" si="4"/>
        <v>4</v>
      </c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</row>
    <row r="17" spans="1:241" ht="27" customHeight="1" x14ac:dyDescent="0.15">
      <c r="A17" s="13">
        <v>15</v>
      </c>
      <c r="B17" s="30" t="s">
        <v>38</v>
      </c>
      <c r="C17" s="21">
        <v>28</v>
      </c>
      <c r="D17" s="21">
        <v>7</v>
      </c>
      <c r="E17" s="5">
        <f t="shared" si="10"/>
        <v>3775.483870967742</v>
      </c>
      <c r="F17" s="15">
        <f t="shared" si="11"/>
        <v>85.806451612903231</v>
      </c>
      <c r="G17" s="15">
        <v>100</v>
      </c>
      <c r="H17" s="22">
        <v>10</v>
      </c>
      <c r="I17" s="22">
        <f t="shared" si="12"/>
        <v>150</v>
      </c>
      <c r="J17" s="22"/>
      <c r="K17" s="22"/>
      <c r="L17" s="15">
        <f>1156+300</f>
        <v>1456</v>
      </c>
      <c r="M17" s="23">
        <f t="shared" si="9"/>
        <v>1344.9853372434018</v>
      </c>
      <c r="N17" s="15" t="s">
        <v>29</v>
      </c>
      <c r="O17" s="15"/>
      <c r="P17" s="25">
        <f t="shared" si="5"/>
        <v>5456</v>
      </c>
      <c r="Q17" s="23"/>
      <c r="R17" s="23"/>
      <c r="S17" s="26">
        <v>8</v>
      </c>
      <c r="T17" s="8">
        <f t="shared" si="0"/>
        <v>54</v>
      </c>
      <c r="U17" s="8">
        <f t="shared" si="1"/>
        <v>1</v>
      </c>
      <c r="V17" s="8">
        <f t="shared" si="2"/>
        <v>0</v>
      </c>
      <c r="W17" s="8">
        <f t="shared" si="3"/>
        <v>1</v>
      </c>
      <c r="X17" s="8">
        <f t="shared" si="4"/>
        <v>1</v>
      </c>
    </row>
    <row r="18" spans="1:241" ht="27" customHeight="1" x14ac:dyDescent="0.15">
      <c r="A18" s="13">
        <v>16</v>
      </c>
      <c r="B18" s="30" t="s">
        <v>39</v>
      </c>
      <c r="C18" s="21">
        <v>26</v>
      </c>
      <c r="D18" s="21">
        <v>9</v>
      </c>
      <c r="E18" s="5">
        <f t="shared" si="10"/>
        <v>3505.8064516129034</v>
      </c>
      <c r="F18" s="15">
        <f t="shared" si="11"/>
        <v>110.32258064516128</v>
      </c>
      <c r="G18" s="15">
        <v>100</v>
      </c>
      <c r="H18" s="22">
        <v>10</v>
      </c>
      <c r="I18" s="22">
        <f t="shared" si="12"/>
        <v>150</v>
      </c>
      <c r="J18" s="22"/>
      <c r="K18" s="22"/>
      <c r="L18" s="15">
        <f>927+400</f>
        <v>1327</v>
      </c>
      <c r="M18" s="23">
        <f t="shared" si="9"/>
        <v>1147.9912023460411</v>
      </c>
      <c r="N18" s="15" t="s">
        <v>27</v>
      </c>
      <c r="O18" s="15"/>
      <c r="P18" s="25">
        <f t="shared" si="5"/>
        <v>5014</v>
      </c>
      <c r="Q18" s="23"/>
      <c r="R18" s="23"/>
      <c r="S18" s="26">
        <v>1</v>
      </c>
      <c r="T18" s="8">
        <f t="shared" si="0"/>
        <v>50</v>
      </c>
      <c r="U18" s="8">
        <f t="shared" si="1"/>
        <v>0</v>
      </c>
      <c r="V18" s="8">
        <f t="shared" si="2"/>
        <v>1</v>
      </c>
      <c r="W18" s="8">
        <f t="shared" si="3"/>
        <v>0</v>
      </c>
      <c r="X18" s="8">
        <f t="shared" si="4"/>
        <v>4</v>
      </c>
    </row>
    <row r="19" spans="1:241" ht="27" customHeight="1" x14ac:dyDescent="0.15">
      <c r="A19" s="13">
        <v>17</v>
      </c>
      <c r="B19" s="30" t="s">
        <v>40</v>
      </c>
      <c r="C19" s="21">
        <v>24</v>
      </c>
      <c r="D19" s="21">
        <v>9</v>
      </c>
      <c r="E19" s="5">
        <f t="shared" si="10"/>
        <v>3236.1290322580644</v>
      </c>
      <c r="F19" s="15">
        <f t="shared" si="11"/>
        <v>110.32258064516128</v>
      </c>
      <c r="G19" s="15"/>
      <c r="H19" s="22">
        <v>8</v>
      </c>
      <c r="I19" s="22">
        <f t="shared" si="12"/>
        <v>120</v>
      </c>
      <c r="J19" s="22"/>
      <c r="K19" s="22"/>
      <c r="L19" s="15">
        <v>1931</v>
      </c>
      <c r="M19" s="23">
        <f t="shared" si="9"/>
        <v>1545.9325513196482</v>
      </c>
      <c r="N19" s="24" t="s">
        <v>20</v>
      </c>
      <c r="O19" s="15"/>
      <c r="P19" s="25">
        <f t="shared" si="5"/>
        <v>5012</v>
      </c>
      <c r="Q19" s="23"/>
      <c r="R19" s="23"/>
      <c r="S19" s="26">
        <v>18</v>
      </c>
      <c r="T19" s="8">
        <f t="shared" si="0"/>
        <v>50</v>
      </c>
      <c r="U19" s="8">
        <f t="shared" si="1"/>
        <v>0</v>
      </c>
      <c r="V19" s="8">
        <f t="shared" si="2"/>
        <v>1</v>
      </c>
      <c r="W19" s="8">
        <f t="shared" si="3"/>
        <v>0</v>
      </c>
      <c r="X19" s="8">
        <f t="shared" si="4"/>
        <v>2</v>
      </c>
    </row>
    <row r="20" spans="1:241" ht="27" customHeight="1" x14ac:dyDescent="0.15">
      <c r="A20" s="13">
        <v>18</v>
      </c>
      <c r="B20" s="30" t="s">
        <v>41</v>
      </c>
      <c r="C20" s="21">
        <v>28</v>
      </c>
      <c r="D20" s="21">
        <v>2</v>
      </c>
      <c r="E20" s="5">
        <f t="shared" si="10"/>
        <v>3775.483870967742</v>
      </c>
      <c r="F20" s="15">
        <f t="shared" si="11"/>
        <v>24.516129032258064</v>
      </c>
      <c r="G20" s="15">
        <v>100</v>
      </c>
      <c r="H20" s="22">
        <v>10</v>
      </c>
      <c r="I20" s="22">
        <f t="shared" si="12"/>
        <v>150</v>
      </c>
      <c r="J20" s="22"/>
      <c r="K20" s="22"/>
      <c r="L20" s="15">
        <v>1400</v>
      </c>
      <c r="M20" s="23">
        <f t="shared" si="9"/>
        <v>1272.7272727272727</v>
      </c>
      <c r="N20" s="24" t="s">
        <v>20</v>
      </c>
      <c r="O20" s="15"/>
      <c r="P20" s="25">
        <f t="shared" si="5"/>
        <v>5323</v>
      </c>
      <c r="Q20" s="23"/>
      <c r="R20" s="29"/>
      <c r="S20" s="26" t="s">
        <v>21</v>
      </c>
      <c r="T20" s="8">
        <f t="shared" si="0"/>
        <v>53</v>
      </c>
      <c r="U20" s="8">
        <f t="shared" si="1"/>
        <v>0</v>
      </c>
      <c r="V20" s="8">
        <f t="shared" si="2"/>
        <v>2</v>
      </c>
      <c r="W20" s="8">
        <f t="shared" si="3"/>
        <v>0</v>
      </c>
      <c r="X20" s="8">
        <f t="shared" si="4"/>
        <v>3</v>
      </c>
    </row>
    <row r="21" spans="1:241" ht="27" customHeight="1" x14ac:dyDescent="0.15">
      <c r="A21" s="13">
        <v>19</v>
      </c>
      <c r="B21" s="30" t="s">
        <v>42</v>
      </c>
      <c r="C21" s="21">
        <v>29</v>
      </c>
      <c r="D21" s="21">
        <v>3.5</v>
      </c>
      <c r="E21" s="5">
        <f t="shared" si="10"/>
        <v>3910.3225806451615</v>
      </c>
      <c r="F21" s="15">
        <f t="shared" si="11"/>
        <v>42.903225806451616</v>
      </c>
      <c r="G21" s="15">
        <v>100</v>
      </c>
      <c r="H21" s="22">
        <v>10</v>
      </c>
      <c r="I21" s="22">
        <f t="shared" si="12"/>
        <v>150</v>
      </c>
      <c r="J21" s="22"/>
      <c r="K21" s="22"/>
      <c r="L21" s="15">
        <v>1200</v>
      </c>
      <c r="M21" s="23">
        <f t="shared" si="9"/>
        <v>1134.8973607038122</v>
      </c>
      <c r="N21" s="24" t="s">
        <v>20</v>
      </c>
      <c r="O21" s="15"/>
      <c r="P21" s="25">
        <f t="shared" si="5"/>
        <v>5338</v>
      </c>
      <c r="Q21" s="23"/>
      <c r="R21" s="23"/>
      <c r="S21" s="26" t="s">
        <v>21</v>
      </c>
      <c r="T21" s="8">
        <f t="shared" si="0"/>
        <v>53</v>
      </c>
      <c r="U21" s="8">
        <f t="shared" si="1"/>
        <v>0</v>
      </c>
      <c r="V21" s="8">
        <f t="shared" si="2"/>
        <v>3</v>
      </c>
      <c r="W21" s="8">
        <f t="shared" si="3"/>
        <v>1</v>
      </c>
      <c r="X21" s="8">
        <f t="shared" si="4"/>
        <v>3</v>
      </c>
    </row>
    <row r="22" spans="1:241" s="8" customFormat="1" ht="27" customHeight="1" x14ac:dyDescent="0.15">
      <c r="A22" s="13">
        <v>20</v>
      </c>
      <c r="B22" s="30" t="s">
        <v>43</v>
      </c>
      <c r="C22" s="21">
        <v>29</v>
      </c>
      <c r="D22" s="21">
        <v>7</v>
      </c>
      <c r="E22" s="5">
        <f t="shared" si="10"/>
        <v>3910.3225806451615</v>
      </c>
      <c r="F22" s="15">
        <f t="shared" si="11"/>
        <v>85.806451612903231</v>
      </c>
      <c r="G22" s="15">
        <v>100</v>
      </c>
      <c r="H22" s="22">
        <v>10</v>
      </c>
      <c r="I22" s="22">
        <f t="shared" si="12"/>
        <v>150</v>
      </c>
      <c r="J22" s="22"/>
      <c r="K22" s="23"/>
      <c r="L22" s="15">
        <v>1000</v>
      </c>
      <c r="M22" s="23">
        <f t="shared" si="9"/>
        <v>956.01173020527858</v>
      </c>
      <c r="N22" s="24" t="s">
        <v>20</v>
      </c>
      <c r="O22" s="15"/>
      <c r="P22" s="25">
        <f t="shared" si="5"/>
        <v>5202</v>
      </c>
      <c r="Q22" s="23"/>
      <c r="R22" s="23"/>
      <c r="S22" s="26" t="s">
        <v>21</v>
      </c>
      <c r="T22" s="8">
        <f t="shared" si="0"/>
        <v>52</v>
      </c>
      <c r="U22" s="8">
        <f t="shared" si="1"/>
        <v>0</v>
      </c>
      <c r="V22" s="8">
        <f t="shared" si="2"/>
        <v>0</v>
      </c>
      <c r="W22" s="8">
        <f t="shared" si="3"/>
        <v>0</v>
      </c>
      <c r="X22" s="8">
        <f t="shared" si="4"/>
        <v>2</v>
      </c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</row>
    <row r="23" spans="1:241" ht="27" customHeight="1" x14ac:dyDescent="0.15">
      <c r="A23" s="13">
        <v>21</v>
      </c>
      <c r="B23" s="30" t="s">
        <v>44</v>
      </c>
      <c r="C23" s="21">
        <v>30</v>
      </c>
      <c r="D23" s="21">
        <v>9</v>
      </c>
      <c r="E23" s="5">
        <f t="shared" si="10"/>
        <v>4045.161290322581</v>
      </c>
      <c r="F23" s="15">
        <f t="shared" si="11"/>
        <v>110.32258064516128</v>
      </c>
      <c r="G23" s="15">
        <v>100</v>
      </c>
      <c r="H23" s="22">
        <v>10</v>
      </c>
      <c r="I23" s="22">
        <f>+H23*15+465</f>
        <v>615</v>
      </c>
      <c r="J23" s="22"/>
      <c r="K23" s="23"/>
      <c r="L23" s="15">
        <v>1000</v>
      </c>
      <c r="M23" s="23">
        <f t="shared" si="9"/>
        <v>994.1348973607038</v>
      </c>
      <c r="N23" s="24" t="s">
        <v>20</v>
      </c>
      <c r="O23" s="15"/>
      <c r="P23" s="25">
        <f t="shared" si="5"/>
        <v>5865</v>
      </c>
      <c r="Q23" s="23"/>
      <c r="R23" s="31" t="s">
        <v>45</v>
      </c>
      <c r="S23" s="26" t="s">
        <v>21</v>
      </c>
      <c r="T23" s="8">
        <f t="shared" si="0"/>
        <v>58</v>
      </c>
      <c r="U23" s="8">
        <f t="shared" si="1"/>
        <v>1</v>
      </c>
      <c r="V23" s="8">
        <f t="shared" si="2"/>
        <v>1</v>
      </c>
      <c r="W23" s="8">
        <f t="shared" si="3"/>
        <v>1</v>
      </c>
      <c r="X23" s="8">
        <f t="shared" si="4"/>
        <v>0</v>
      </c>
    </row>
    <row r="24" spans="1:241" ht="27" customHeight="1" x14ac:dyDescent="0.15">
      <c r="A24" s="13">
        <v>22</v>
      </c>
      <c r="B24" s="30" t="s">
        <v>46</v>
      </c>
      <c r="C24" s="21">
        <v>6</v>
      </c>
      <c r="D24" s="21">
        <v>4</v>
      </c>
      <c r="E24" s="5">
        <f t="shared" si="10"/>
        <v>809.0322580645161</v>
      </c>
      <c r="F24" s="15">
        <f t="shared" si="11"/>
        <v>49.032258064516128</v>
      </c>
      <c r="G24" s="15"/>
      <c r="H24" s="22">
        <v>2</v>
      </c>
      <c r="I24" s="22">
        <f t="shared" si="12"/>
        <v>30</v>
      </c>
      <c r="J24" s="22"/>
      <c r="K24" s="23"/>
      <c r="L24" s="15">
        <v>1600</v>
      </c>
      <c r="M24" s="23">
        <f t="shared" si="9"/>
        <v>328.4457478005865</v>
      </c>
      <c r="N24" s="24" t="s">
        <v>47</v>
      </c>
      <c r="O24" s="15"/>
      <c r="P24" s="25">
        <f>ROUND(F24+G24+E24+M24+I24+K24-O24,0)</f>
        <v>1217</v>
      </c>
      <c r="Q24" s="23"/>
      <c r="R24" s="31"/>
      <c r="S24" s="26">
        <v>10</v>
      </c>
      <c r="T24" s="8">
        <f>INT(P24/100)</f>
        <v>12</v>
      </c>
      <c r="U24" s="8">
        <f>INT((P24-T24*100)/50)</f>
        <v>0</v>
      </c>
      <c r="V24" s="8">
        <f>INT((P24-T24*100-U24*50)/10)</f>
        <v>1</v>
      </c>
      <c r="W24" s="8">
        <f>INT((P24-T24*100-U24*50-V24*10)/5)</f>
        <v>1</v>
      </c>
      <c r="X24" s="8">
        <f>INT(P24-T24*100-U24*50-V24*10-W24*5)</f>
        <v>2</v>
      </c>
    </row>
    <row r="25" spans="1:241" ht="27" customHeight="1" x14ac:dyDescent="0.15">
      <c r="A25" s="13">
        <v>23</v>
      </c>
      <c r="B25" s="32" t="s">
        <v>48</v>
      </c>
      <c r="C25" s="21">
        <v>30</v>
      </c>
      <c r="D25" s="21">
        <v>9</v>
      </c>
      <c r="E25" s="5">
        <f>3830/31*C25</f>
        <v>3706.4516129032259</v>
      </c>
      <c r="F25" s="15">
        <f>3830/31/11*D25</f>
        <v>101.0850439882698</v>
      </c>
      <c r="G25" s="15">
        <v>100</v>
      </c>
      <c r="H25" s="22">
        <v>10</v>
      </c>
      <c r="I25" s="22">
        <f>+H25*15</f>
        <v>150</v>
      </c>
      <c r="J25" s="22"/>
      <c r="K25" s="22"/>
      <c r="L25" s="15">
        <v>1000</v>
      </c>
      <c r="M25" s="23">
        <f t="shared" si="9"/>
        <v>994.1348973607038</v>
      </c>
      <c r="N25" s="24" t="s">
        <v>20</v>
      </c>
      <c r="O25" s="15"/>
      <c r="P25" s="25">
        <f t="shared" ref="P25" si="13">ROUND(F25+G25+E25+M25+I25+K25-O25,0)</f>
        <v>5052</v>
      </c>
      <c r="Q25" s="23"/>
      <c r="R25" s="29"/>
      <c r="S25" s="33" t="s">
        <v>21</v>
      </c>
      <c r="T25" s="8">
        <f t="shared" ref="T25" si="14">INT(P25/100)</f>
        <v>50</v>
      </c>
      <c r="U25" s="8">
        <f t="shared" ref="U25" si="15">INT((P25-T25*100)/50)</f>
        <v>1</v>
      </c>
      <c r="V25" s="8">
        <f t="shared" ref="V25" si="16">INT((P25-T25*100-U25*50)/10)</f>
        <v>0</v>
      </c>
      <c r="W25" s="8">
        <f t="shared" ref="W25" si="17">INT((P25-T25*100-U25*50-V25*10)/5)</f>
        <v>0</v>
      </c>
      <c r="X25" s="8">
        <f t="shared" ref="X25" si="18">INT(P25-T25*100-U25*50-V25*10-W25*5)</f>
        <v>2</v>
      </c>
    </row>
    <row r="26" spans="1:241" s="8" customFormat="1" ht="18" customHeight="1" x14ac:dyDescent="0.15">
      <c r="C26" s="34">
        <f t="shared" ref="C26:H26" si="19">SUM(C3:C25)</f>
        <v>630</v>
      </c>
      <c r="D26" s="34">
        <f t="shared" si="19"/>
        <v>163.5</v>
      </c>
      <c r="E26" s="34">
        <f t="shared" si="19"/>
        <v>81728.064516129045</v>
      </c>
      <c r="F26" s="34">
        <f t="shared" si="19"/>
        <v>1945.1319648093834</v>
      </c>
      <c r="G26" s="34">
        <f t="shared" si="19"/>
        <v>2100</v>
      </c>
      <c r="H26" s="34">
        <f t="shared" si="19"/>
        <v>204</v>
      </c>
      <c r="I26" s="34"/>
      <c r="J26" s="34">
        <f>SUM(J3:J25)</f>
        <v>0</v>
      </c>
      <c r="K26" s="34"/>
      <c r="L26" s="34"/>
      <c r="M26" s="34">
        <f>SUM(M3:M25)</f>
        <v>23606.727272727279</v>
      </c>
      <c r="N26" s="34">
        <f>SUM(N3:N25)</f>
        <v>0</v>
      </c>
      <c r="O26" s="34">
        <f>SUM(O3:O25)</f>
        <v>0</v>
      </c>
      <c r="P26" s="34">
        <f>SUM(P3:P25)</f>
        <v>121055</v>
      </c>
      <c r="Q26" s="34"/>
      <c r="R26" s="35"/>
      <c r="S26" s="33"/>
      <c r="T26" s="19">
        <f>SUM(T3:T25)</f>
        <v>1202</v>
      </c>
      <c r="U26" s="19">
        <f t="shared" ref="U26:X26" si="20">SUM(U3:U25)</f>
        <v>9</v>
      </c>
      <c r="V26" s="19">
        <f t="shared" si="20"/>
        <v>30</v>
      </c>
      <c r="W26" s="19">
        <f t="shared" si="20"/>
        <v>12</v>
      </c>
      <c r="X26" s="19">
        <f t="shared" si="20"/>
        <v>45</v>
      </c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</row>
    <row r="27" spans="1:241" s="8" customFormat="1" ht="17.100000000000001" customHeight="1" x14ac:dyDescent="0.15">
      <c r="C27" s="6"/>
      <c r="D27" s="6"/>
      <c r="E27" s="7"/>
      <c r="F27" s="7"/>
      <c r="G27" s="36"/>
      <c r="H27" s="36"/>
      <c r="I27" s="36"/>
      <c r="J27" s="36"/>
      <c r="K27" s="37"/>
      <c r="L27" s="34"/>
      <c r="S27" s="26"/>
      <c r="T27" s="38">
        <f>+T26*T1</f>
        <v>120200</v>
      </c>
      <c r="U27" s="38">
        <f>+U26*U1</f>
        <v>450</v>
      </c>
      <c r="V27" s="38">
        <f>+V26*V1</f>
        <v>300</v>
      </c>
      <c r="W27" s="38">
        <f>+W26*W1</f>
        <v>60</v>
      </c>
      <c r="X27" s="38">
        <f>+X26*X1</f>
        <v>45</v>
      </c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</row>
    <row r="28" spans="1:241" s="8" customFormat="1" ht="17.100000000000001" customHeight="1" x14ac:dyDescent="0.15">
      <c r="C28" s="39"/>
      <c r="D28" s="39"/>
      <c r="E28" s="39"/>
      <c r="F28" s="39"/>
      <c r="G28" s="39"/>
      <c r="H28" s="39"/>
      <c r="I28" s="39"/>
      <c r="J28" s="39"/>
      <c r="M28" s="1" t="s">
        <v>49</v>
      </c>
      <c r="N28" s="2" t="s">
        <v>50</v>
      </c>
      <c r="O28" s="3" t="s">
        <v>51</v>
      </c>
      <c r="P28" s="1" t="s">
        <v>52</v>
      </c>
      <c r="S28" s="11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</row>
    <row r="29" spans="1:241" s="8" customFormat="1" ht="17.100000000000001" customHeight="1" x14ac:dyDescent="0.15">
      <c r="C29" s="40"/>
      <c r="D29" s="41"/>
      <c r="E29" s="42"/>
      <c r="F29" s="42"/>
      <c r="G29" s="41"/>
      <c r="H29" s="41"/>
      <c r="I29" s="41"/>
      <c r="J29" s="39"/>
      <c r="M29" s="4" t="s">
        <v>53</v>
      </c>
      <c r="N29" s="2">
        <v>121238</v>
      </c>
      <c r="O29" s="2"/>
      <c r="P29" s="2">
        <f>P26</f>
        <v>121055</v>
      </c>
      <c r="S29" s="11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</row>
    <row r="30" spans="1:241" s="8" customFormat="1" ht="17.100000000000001" customHeight="1" x14ac:dyDescent="0.15">
      <c r="C30" s="40"/>
      <c r="D30" s="41"/>
      <c r="E30" s="43"/>
      <c r="F30" s="43"/>
      <c r="G30" s="43"/>
      <c r="H30" s="43"/>
      <c r="I30" s="44"/>
      <c r="J30" s="39"/>
      <c r="M30" s="5" t="s">
        <v>54</v>
      </c>
      <c r="N30" s="2">
        <v>2000</v>
      </c>
      <c r="O30" s="2"/>
      <c r="P30" s="2">
        <f t="shared" ref="P30:P39" si="21">SUM(N30:O30)</f>
        <v>2000</v>
      </c>
      <c r="S30" s="11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</row>
    <row r="31" spans="1:241" s="8" customFormat="1" ht="17.100000000000001" customHeight="1" x14ac:dyDescent="0.15">
      <c r="C31" s="45"/>
      <c r="D31" s="46"/>
      <c r="E31" s="47"/>
      <c r="F31" s="36"/>
      <c r="G31" s="47"/>
      <c r="H31" s="36"/>
      <c r="I31" s="43"/>
      <c r="J31" s="39"/>
      <c r="M31" s="5" t="s">
        <v>55</v>
      </c>
      <c r="N31" s="2">
        <v>1000</v>
      </c>
      <c r="O31" s="2">
        <v>450</v>
      </c>
      <c r="P31" s="2">
        <f t="shared" si="21"/>
        <v>1450</v>
      </c>
      <c r="S31" s="11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</row>
    <row r="32" spans="1:241" s="8" customFormat="1" ht="17.100000000000001" customHeight="1" x14ac:dyDescent="0.15">
      <c r="C32" s="45"/>
      <c r="D32" s="46"/>
      <c r="E32" s="47"/>
      <c r="F32" s="36"/>
      <c r="G32" s="47"/>
      <c r="H32" s="36"/>
      <c r="I32" s="47"/>
      <c r="J32" s="39"/>
      <c r="M32" s="5" t="s">
        <v>57</v>
      </c>
      <c r="N32" s="2">
        <v>1300</v>
      </c>
      <c r="O32" s="2">
        <v>300</v>
      </c>
      <c r="P32" s="2">
        <f t="shared" si="21"/>
        <v>1600</v>
      </c>
      <c r="S32" s="11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</row>
    <row r="33" spans="3:241" s="8" customFormat="1" ht="17.100000000000001" customHeight="1" x14ac:dyDescent="0.15">
      <c r="C33" s="45"/>
      <c r="D33" s="46"/>
      <c r="E33" s="47"/>
      <c r="F33" s="36"/>
      <c r="G33" s="47"/>
      <c r="H33" s="36"/>
      <c r="I33" s="47"/>
      <c r="J33" s="39"/>
      <c r="M33" s="5" t="s">
        <v>25</v>
      </c>
      <c r="N33" s="2">
        <v>400</v>
      </c>
      <c r="O33" s="2">
        <v>300</v>
      </c>
      <c r="P33" s="2">
        <f t="shared" si="21"/>
        <v>700</v>
      </c>
      <c r="S33" s="11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</row>
    <row r="34" spans="3:241" s="8" customFormat="1" ht="17.100000000000001" customHeight="1" x14ac:dyDescent="0.15">
      <c r="C34" s="48"/>
      <c r="D34" s="46"/>
      <c r="E34" s="47"/>
      <c r="F34" s="36"/>
      <c r="G34" s="47"/>
      <c r="H34" s="36"/>
      <c r="I34" s="47"/>
      <c r="J34" s="39"/>
      <c r="M34" s="5" t="s">
        <v>58</v>
      </c>
      <c r="N34" s="2">
        <v>400</v>
      </c>
      <c r="O34" s="2"/>
      <c r="P34" s="2">
        <f t="shared" si="21"/>
        <v>400</v>
      </c>
      <c r="S34" s="11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</row>
    <row r="35" spans="3:241" s="8" customFormat="1" ht="17.100000000000001" customHeight="1" x14ac:dyDescent="0.15">
      <c r="C35" s="48"/>
      <c r="D35" s="46"/>
      <c r="E35" s="47"/>
      <c r="F35" s="36"/>
      <c r="G35" s="47"/>
      <c r="H35" s="36"/>
      <c r="I35" s="47"/>
      <c r="J35" s="39"/>
      <c r="M35" s="5" t="s">
        <v>59</v>
      </c>
      <c r="N35" s="2">
        <v>400</v>
      </c>
      <c r="O35" s="2"/>
      <c r="P35" s="2">
        <f t="shared" si="21"/>
        <v>400</v>
      </c>
      <c r="S35" s="11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</row>
    <row r="36" spans="3:241" s="8" customFormat="1" ht="17.100000000000001" customHeight="1" x14ac:dyDescent="0.15">
      <c r="C36" s="43"/>
      <c r="D36" s="46"/>
      <c r="E36" s="47"/>
      <c r="F36" s="36"/>
      <c r="G36" s="47"/>
      <c r="H36" s="36"/>
      <c r="I36" s="43"/>
      <c r="J36" s="39"/>
      <c r="M36" s="4" t="s">
        <v>60</v>
      </c>
      <c r="N36" s="2"/>
      <c r="O36" s="2">
        <v>300</v>
      </c>
      <c r="P36" s="2">
        <f t="shared" si="21"/>
        <v>300</v>
      </c>
      <c r="S36" s="11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</row>
    <row r="37" spans="3:241" s="8" customFormat="1" ht="17.100000000000001" customHeight="1" x14ac:dyDescent="0.15">
      <c r="C37" s="43"/>
      <c r="D37" s="47"/>
      <c r="E37" s="36"/>
      <c r="F37" s="36"/>
      <c r="G37" s="47"/>
      <c r="H37" s="36"/>
      <c r="I37" s="47"/>
      <c r="J37" s="39"/>
      <c r="M37" s="4" t="s">
        <v>61</v>
      </c>
      <c r="N37" s="2">
        <v>300</v>
      </c>
      <c r="O37" s="2"/>
      <c r="P37" s="2">
        <f t="shared" si="21"/>
        <v>300</v>
      </c>
      <c r="S37" s="11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</row>
    <row r="38" spans="3:241" s="8" customFormat="1" ht="17.100000000000001" customHeight="1" x14ac:dyDescent="0.15">
      <c r="C38" s="46"/>
      <c r="D38" s="47"/>
      <c r="E38" s="46"/>
      <c r="F38" s="46"/>
      <c r="G38" s="47"/>
      <c r="H38" s="46"/>
      <c r="I38" s="47"/>
      <c r="J38" s="39"/>
      <c r="M38" s="4" t="s">
        <v>62</v>
      </c>
      <c r="N38" s="2">
        <v>500</v>
      </c>
      <c r="O38" s="2"/>
      <c r="P38" s="2">
        <f t="shared" si="21"/>
        <v>500</v>
      </c>
      <c r="S38" s="11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</row>
    <row r="39" spans="3:241" s="8" customFormat="1" ht="17.100000000000001" customHeight="1" x14ac:dyDescent="0.15">
      <c r="C39" s="46"/>
      <c r="D39" s="47"/>
      <c r="E39" s="46"/>
      <c r="F39" s="46"/>
      <c r="G39" s="47"/>
      <c r="H39" s="46"/>
      <c r="I39" s="47"/>
      <c r="J39" s="39"/>
      <c r="M39" s="4" t="s">
        <v>56</v>
      </c>
      <c r="N39" s="2"/>
      <c r="O39" s="2">
        <v>300</v>
      </c>
      <c r="P39" s="2">
        <f t="shared" si="21"/>
        <v>300</v>
      </c>
      <c r="S39" s="11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</row>
    <row r="40" spans="3:241" s="8" customFormat="1" ht="17.100000000000001" customHeight="1" x14ac:dyDescent="0.15">
      <c r="C40" s="49"/>
      <c r="D40" s="47"/>
      <c r="E40" s="46"/>
      <c r="F40" s="46"/>
      <c r="G40" s="47"/>
      <c r="H40" s="46"/>
      <c r="I40" s="47"/>
      <c r="J40" s="39"/>
      <c r="M40" s="4" t="s">
        <v>63</v>
      </c>
      <c r="N40" s="2"/>
      <c r="O40" s="2">
        <v>300</v>
      </c>
      <c r="P40" s="2">
        <f>SUM(N40:O40)</f>
        <v>300</v>
      </c>
      <c r="S40" s="11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</row>
    <row r="41" spans="3:241" s="8" customFormat="1" ht="17.100000000000001" customHeight="1" x14ac:dyDescent="0.15">
      <c r="C41" s="46"/>
      <c r="D41" s="47"/>
      <c r="E41" s="46"/>
      <c r="F41" s="46"/>
      <c r="G41" s="47"/>
      <c r="H41" s="46"/>
      <c r="I41" s="47"/>
      <c r="J41" s="39"/>
      <c r="M41" s="4" t="s">
        <v>64</v>
      </c>
      <c r="N41" s="2"/>
      <c r="O41" s="2">
        <v>300</v>
      </c>
      <c r="P41" s="2">
        <f>SUM(N41:O41)</f>
        <v>300</v>
      </c>
      <c r="S41" s="11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</row>
    <row r="42" spans="3:241" s="8" customFormat="1" ht="17.100000000000001" customHeight="1" x14ac:dyDescent="0.15">
      <c r="C42" s="46"/>
      <c r="D42" s="47"/>
      <c r="E42" s="46"/>
      <c r="F42" s="46"/>
      <c r="G42" s="47"/>
      <c r="H42" s="46"/>
      <c r="I42" s="47"/>
      <c r="J42" s="39"/>
      <c r="M42" s="4" t="s">
        <v>65</v>
      </c>
      <c r="N42" s="2"/>
      <c r="O42" s="2">
        <v>300</v>
      </c>
      <c r="P42" s="2">
        <f>SUM(N42:O42)</f>
        <v>300</v>
      </c>
      <c r="S42" s="11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</row>
    <row r="43" spans="3:241" s="8" customFormat="1" ht="17.100000000000001" customHeight="1" x14ac:dyDescent="0.15">
      <c r="C43" s="47"/>
      <c r="D43" s="36"/>
      <c r="E43" s="36"/>
      <c r="F43" s="36"/>
      <c r="G43" s="47"/>
      <c r="H43" s="36"/>
      <c r="I43" s="47"/>
      <c r="J43" s="50"/>
      <c r="M43" s="4" t="s">
        <v>66</v>
      </c>
      <c r="N43" s="2"/>
      <c r="O43" s="2">
        <v>300</v>
      </c>
      <c r="P43" s="2">
        <f>SUM(N43:O43)</f>
        <v>300</v>
      </c>
      <c r="S43" s="11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</row>
    <row r="44" spans="3:241" s="8" customFormat="1" ht="17.100000000000001" customHeight="1" x14ac:dyDescent="0.15">
      <c r="C44" s="39"/>
      <c r="D44" s="39"/>
      <c r="E44" s="39"/>
      <c r="F44" s="39"/>
      <c r="G44" s="39"/>
      <c r="H44" s="39"/>
      <c r="I44" s="39"/>
      <c r="J44" s="39"/>
      <c r="M44" s="4" t="s">
        <v>67</v>
      </c>
      <c r="N44" s="2"/>
      <c r="O44" s="2">
        <v>300</v>
      </c>
      <c r="P44" s="2">
        <f>SUM(N44:O44)</f>
        <v>300</v>
      </c>
      <c r="S44" s="11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</row>
    <row r="45" spans="3:241" s="8" customFormat="1" ht="17.100000000000001" customHeight="1" x14ac:dyDescent="0.15">
      <c r="C45" s="39"/>
      <c r="D45" s="39"/>
      <c r="E45" s="39"/>
      <c r="F45" s="39"/>
      <c r="G45" s="39"/>
      <c r="H45" s="39"/>
      <c r="I45" s="39"/>
      <c r="J45" s="39"/>
      <c r="M45" s="5" t="s">
        <v>68</v>
      </c>
      <c r="N45" s="2">
        <v>3600</v>
      </c>
      <c r="O45" s="2"/>
      <c r="P45" s="2">
        <f t="shared" ref="P45" si="22">SUM(N45:O45)</f>
        <v>3600</v>
      </c>
      <c r="S45" s="11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</row>
    <row r="46" spans="3:241" s="8" customFormat="1" ht="15.75" customHeight="1" x14ac:dyDescent="0.15">
      <c r="C46" s="51"/>
      <c r="M46" s="4" t="s">
        <v>52</v>
      </c>
      <c r="N46" s="2">
        <f>SUM(N29:N45)</f>
        <v>131138</v>
      </c>
      <c r="O46" s="2">
        <f>SUM(O29:O45)</f>
        <v>3150</v>
      </c>
      <c r="P46" s="2">
        <f>SUM(P29:P45)</f>
        <v>134105</v>
      </c>
      <c r="S46" s="11"/>
      <c r="Y46" s="52"/>
      <c r="Z46" s="12"/>
    </row>
    <row r="47" spans="3:241" s="8" customFormat="1" ht="15.75" customHeight="1" x14ac:dyDescent="0.15">
      <c r="C47" s="51"/>
      <c r="S47" s="11"/>
      <c r="Y47" s="52"/>
      <c r="Z47" s="12"/>
    </row>
    <row r="48" spans="3:241" s="8" customFormat="1" ht="15.75" customHeight="1" x14ac:dyDescent="0.15">
      <c r="C48" s="51"/>
      <c r="S48" s="11"/>
      <c r="Z48" s="5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</row>
    <row r="49" spans="1:241" ht="15.75" customHeight="1" x14ac:dyDescent="0.15">
      <c r="M49" s="12"/>
      <c r="N49" s="12"/>
      <c r="O49" s="12"/>
    </row>
    <row r="50" spans="1:241" x14ac:dyDescent="0.15">
      <c r="AA50" s="12"/>
    </row>
    <row r="51" spans="1:241" s="8" customFormat="1" ht="15" customHeight="1" x14ac:dyDescent="0.15">
      <c r="C51" s="51"/>
      <c r="D51" s="51"/>
      <c r="S51" s="11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</row>
    <row r="52" spans="1:241" s="8" customFormat="1" x14ac:dyDescent="0.15">
      <c r="C52" s="51" t="s">
        <v>69</v>
      </c>
      <c r="D52" s="51"/>
      <c r="S52" s="11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</row>
    <row r="55" spans="1:241" s="51" customFormat="1" x14ac:dyDescent="0.15">
      <c r="A55" s="8"/>
      <c r="B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11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</row>
    <row r="829" spans="3:241" s="8" customFormat="1" x14ac:dyDescent="0.15">
      <c r="C829" s="51"/>
      <c r="D829" s="51"/>
      <c r="S829" s="11"/>
      <c r="HR829" s="12"/>
      <c r="HS829" s="12"/>
      <c r="HT829" s="12"/>
      <c r="HU829" s="12"/>
      <c r="HV829" s="12"/>
      <c r="HW829" s="12"/>
      <c r="HX829" s="12"/>
      <c r="HY829" s="12"/>
      <c r="HZ829" s="12"/>
      <c r="IA829" s="12"/>
      <c r="IB829" s="12"/>
      <c r="IC829" s="12"/>
      <c r="ID829" s="12"/>
      <c r="IE829" s="12"/>
      <c r="IF829" s="12"/>
      <c r="IG829" s="12"/>
    </row>
  </sheetData>
  <autoFilter ref="A2:IG45" xr:uid="{00000000-0009-0000-0000-000008000000}"/>
  <mergeCells count="8">
    <mergeCell ref="G29:H29"/>
    <mergeCell ref="I29:I30"/>
    <mergeCell ref="B1:E1"/>
    <mergeCell ref="C27:D27"/>
    <mergeCell ref="E27:F27"/>
    <mergeCell ref="C29:C30"/>
    <mergeCell ref="D29:D30"/>
    <mergeCell ref="E29:F29"/>
  </mergeCells>
  <phoneticPr fontId="3" type="noConversion"/>
  <printOptions horizontalCentered="1"/>
  <pageMargins left="0.31" right="0.31" top="0.16" bottom="0.11999999999999998" header="0.16" footer="0.16"/>
  <pageSetup paperSize="9" scale="85" orientation="landscape" horizontalDpi="30066" verticalDpi="26478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25.3</vt:lpstr>
      <vt:lpstr>'25.3'!Print_Area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祥山 孟</dc:creator>
  <cp:lastModifiedBy>祥山 孟</cp:lastModifiedBy>
  <dcterms:created xsi:type="dcterms:W3CDTF">2025-04-07T01:17:43Z</dcterms:created>
  <dcterms:modified xsi:type="dcterms:W3CDTF">2025-04-07T01:21:54Z</dcterms:modified>
</cp:coreProperties>
</file>