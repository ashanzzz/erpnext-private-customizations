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SynologyDrive\Cloud Sync\OneDrive-zeros\工作\圣凯院内物业\电表数据\"/>
    </mc:Choice>
  </mc:AlternateContent>
  <xr:revisionPtr revIDLastSave="0" documentId="13_ncr:1_{7F8AA221-A7EF-46AC-8390-72347FE3F335}" xr6:coauthVersionLast="47" xr6:coauthVersionMax="47" xr10:uidLastSave="{00000000-0000-0000-0000-000000000000}"/>
  <bookViews>
    <workbookView xWindow="1560" yWindow="1560" windowWidth="28800" windowHeight="15345" activeTab="3" xr2:uid="{00000000-000D-0000-FFFF-FFFF00000000}"/>
  </bookViews>
  <sheets>
    <sheet name="电表" sheetId="1" r:id="rId1"/>
    <sheet name="水表" sheetId="2" r:id="rId2"/>
    <sheet name="倍率" sheetId="5" r:id="rId3"/>
    <sheet name="祺富单证" sheetId="4" r:id="rId4"/>
    <sheet name="吉众单证" sheetId="3" r:id="rId5"/>
    <sheet name="合计单证" sheetId="8" r:id="rId6"/>
    <sheet name="合并记录" sheetId="7" r:id="rId7"/>
  </sheets>
  <definedNames>
    <definedName name="_xlnm._FilterDatabase" localSheetId="6" hidden="1">合并记录!$B$4:$AB$41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3" i="1" l="1"/>
  <c r="C244" i="2"/>
  <c r="E244" i="2"/>
  <c r="E330" i="1"/>
  <c r="C334" i="1"/>
  <c r="C245" i="2"/>
  <c r="C237" i="2"/>
  <c r="C238" i="2" s="1"/>
  <c r="E237" i="2"/>
  <c r="C326" i="1"/>
  <c r="C327" i="1" s="1"/>
  <c r="G47" i="7" s="1"/>
  <c r="E323" i="1"/>
  <c r="E230" i="2"/>
  <c r="C230" i="2"/>
  <c r="C231" i="2" s="1"/>
  <c r="C319" i="1"/>
  <c r="C320" i="1" s="1"/>
  <c r="E316" i="1"/>
  <c r="C223" i="2"/>
  <c r="C224" i="2" s="1"/>
  <c r="E223" i="2"/>
  <c r="C312" i="1"/>
  <c r="A47" i="7"/>
  <c r="B47" i="7"/>
  <c r="C47" i="7" s="1"/>
  <c r="I47" i="7"/>
  <c r="U47" i="7" s="1"/>
  <c r="P47" i="7"/>
  <c r="AA47" i="7" s="1"/>
  <c r="R47" i="7"/>
  <c r="W47" i="7"/>
  <c r="X47" i="7"/>
  <c r="Y47" i="7"/>
  <c r="C313" i="1"/>
  <c r="E309" i="1"/>
  <c r="C216" i="2"/>
  <c r="E216" i="2"/>
  <c r="C305" i="1"/>
  <c r="C306" i="1" s="1"/>
  <c r="E302" i="1"/>
  <c r="C298" i="1"/>
  <c r="C299" i="1" s="1"/>
  <c r="G44" i="7" s="1"/>
  <c r="A46" i="7"/>
  <c r="B46" i="7"/>
  <c r="C46" i="7" s="1"/>
  <c r="F46" i="7"/>
  <c r="I46" i="7"/>
  <c r="U46" i="7" s="1"/>
  <c r="P46" i="7"/>
  <c r="AA46" i="7" s="1"/>
  <c r="R46" i="7"/>
  <c r="W46" i="7"/>
  <c r="X46" i="7"/>
  <c r="Y46" i="7"/>
  <c r="A45" i="7"/>
  <c r="B45" i="7"/>
  <c r="C45" i="7" s="1"/>
  <c r="I45" i="7"/>
  <c r="U45" i="7" s="1"/>
  <c r="R45" i="7"/>
  <c r="W45" i="7"/>
  <c r="X45" i="7"/>
  <c r="Y45" i="7"/>
  <c r="A44" i="7"/>
  <c r="B44" i="7"/>
  <c r="C44" i="7" s="1"/>
  <c r="I44" i="7"/>
  <c r="U44" i="7" s="1"/>
  <c r="R44" i="7"/>
  <c r="W44" i="7"/>
  <c r="Y44" i="7"/>
  <c r="A43" i="7"/>
  <c r="B43" i="7"/>
  <c r="C43" i="7" s="1"/>
  <c r="I43" i="7"/>
  <c r="U43" i="7" s="1"/>
  <c r="P43" i="7"/>
  <c r="AA43" i="7" s="1"/>
  <c r="R43" i="7"/>
  <c r="X43" i="7"/>
  <c r="Y43" i="7"/>
  <c r="A42" i="7"/>
  <c r="B42" i="7"/>
  <c r="C42" i="7" s="1"/>
  <c r="G42" i="7"/>
  <c r="I42" i="7"/>
  <c r="U42" i="7" s="1"/>
  <c r="N42" i="7"/>
  <c r="P42" i="7"/>
  <c r="AA42" i="7" s="1"/>
  <c r="R42" i="7"/>
  <c r="W42" i="7"/>
  <c r="X42" i="7"/>
  <c r="Y42" i="7"/>
  <c r="C217" i="2"/>
  <c r="C209" i="2"/>
  <c r="C210" i="2" s="1"/>
  <c r="E209" i="2"/>
  <c r="E295" i="1"/>
  <c r="C202" i="2"/>
  <c r="E202" i="2"/>
  <c r="C291" i="1"/>
  <c r="E288" i="1"/>
  <c r="C203" i="2"/>
  <c r="C292" i="1"/>
  <c r="C284" i="1"/>
  <c r="E269" i="1"/>
  <c r="C195" i="2"/>
  <c r="F174" i="2"/>
  <c r="C196" i="2"/>
  <c r="C285" i="1"/>
  <c r="C277" i="1"/>
  <c r="C278" i="1" s="1"/>
  <c r="C188" i="2"/>
  <c r="C189" i="2" s="1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C181" i="2"/>
  <c r="C270" i="1"/>
  <c r="C271" i="1" s="1"/>
  <c r="C182" i="2"/>
  <c r="I5" i="7"/>
  <c r="U5" i="7" s="1"/>
  <c r="N5" i="7"/>
  <c r="M5" i="7"/>
  <c r="L5" i="7"/>
  <c r="K5" i="7"/>
  <c r="Y5" i="7"/>
  <c r="X5" i="7"/>
  <c r="W5" i="7"/>
  <c r="S5" i="7"/>
  <c r="R5" i="7"/>
  <c r="Z5" i="7"/>
  <c r="V5" i="7"/>
  <c r="D5" i="7"/>
  <c r="E5" i="7"/>
  <c r="F5" i="7"/>
  <c r="G5" i="7"/>
  <c r="C5" i="7"/>
  <c r="B6" i="7"/>
  <c r="B7" i="7" s="1"/>
  <c r="F4" i="7"/>
  <c r="E4" i="7"/>
  <c r="D4" i="7"/>
  <c r="C4" i="7"/>
  <c r="C263" i="1"/>
  <c r="C174" i="2"/>
  <c r="B13" i="4"/>
  <c r="C264" i="1"/>
  <c r="C175" i="2"/>
  <c r="C167" i="2"/>
  <c r="C168" i="2" s="1"/>
  <c r="C256" i="1"/>
  <c r="C257" i="1" s="1"/>
  <c r="B3" i="3"/>
  <c r="B18" i="3" s="1"/>
  <c r="C249" i="1"/>
  <c r="C250" i="1" s="1"/>
  <c r="C163" i="2"/>
  <c r="C164" i="2" s="1"/>
  <c r="C159" i="2"/>
  <c r="C160" i="2" s="1"/>
  <c r="C242" i="1"/>
  <c r="C243" i="1"/>
  <c r="C155" i="2"/>
  <c r="C235" i="1"/>
  <c r="C236" i="1" s="1"/>
  <c r="C156" i="2"/>
  <c r="C151" i="2"/>
  <c r="C152" i="2" s="1"/>
  <c r="C228" i="1"/>
  <c r="C229" i="1" s="1"/>
  <c r="C221" i="1"/>
  <c r="C222" i="1" s="1"/>
  <c r="C147" i="2"/>
  <c r="C148" i="2" s="1"/>
  <c r="C214" i="1"/>
  <c r="C215" i="1" s="1"/>
  <c r="C143" i="2"/>
  <c r="C144" i="2" s="1"/>
  <c r="C139" i="2"/>
  <c r="C140" i="2" s="1"/>
  <c r="C207" i="1"/>
  <c r="C208" i="1" s="1"/>
  <c r="C200" i="1"/>
  <c r="C201" i="1" s="1"/>
  <c r="C135" i="2"/>
  <c r="C136" i="2"/>
  <c r="C193" i="1"/>
  <c r="C194" i="1"/>
  <c r="C186" i="1"/>
  <c r="C187" i="1" s="1"/>
  <c r="C179" i="1"/>
  <c r="C131" i="2"/>
  <c r="C132" i="2" s="1"/>
  <c r="C127" i="2"/>
  <c r="C128" i="2" s="1"/>
  <c r="B3" i="8"/>
  <c r="C119" i="2"/>
  <c r="C120" i="2" s="1"/>
  <c r="C172" i="1"/>
  <c r="D120" i="2"/>
  <c r="D119" i="2"/>
  <c r="D118" i="2"/>
  <c r="D117" i="2"/>
  <c r="C173" i="1"/>
  <c r="Z47" i="7" l="1"/>
  <c r="AB47" i="7" s="1"/>
  <c r="N46" i="7"/>
  <c r="G46" i="7"/>
  <c r="N47" i="7"/>
  <c r="F47" i="7"/>
  <c r="M47" i="7"/>
  <c r="E47" i="7"/>
  <c r="L47" i="7"/>
  <c r="D47" i="7"/>
  <c r="S47" i="7"/>
  <c r="K47" i="7"/>
  <c r="G45" i="7"/>
  <c r="Z46" i="7"/>
  <c r="AB46" i="7" s="1"/>
  <c r="M46" i="7"/>
  <c r="E46" i="7"/>
  <c r="L46" i="7"/>
  <c r="D46" i="7"/>
  <c r="S46" i="7"/>
  <c r="K46" i="7"/>
  <c r="P45" i="7"/>
  <c r="AA45" i="7" s="1"/>
  <c r="N45" i="7"/>
  <c r="F45" i="7"/>
  <c r="M45" i="7"/>
  <c r="E45" i="7"/>
  <c r="L45" i="7"/>
  <c r="D45" i="7"/>
  <c r="S45" i="7"/>
  <c r="K45" i="7"/>
  <c r="X44" i="7"/>
  <c r="P44" i="7"/>
  <c r="AA44" i="7" s="1"/>
  <c r="N44" i="7"/>
  <c r="F44" i="7"/>
  <c r="M44" i="7"/>
  <c r="E44" i="7"/>
  <c r="L44" i="7"/>
  <c r="D44" i="7"/>
  <c r="S44" i="7"/>
  <c r="K44" i="7"/>
  <c r="W43" i="7"/>
  <c r="Z43" i="7" s="1"/>
  <c r="AB43" i="7" s="1"/>
  <c r="G43" i="7"/>
  <c r="N43" i="7"/>
  <c r="F43" i="7"/>
  <c r="M43" i="7"/>
  <c r="E43" i="7"/>
  <c r="L43" i="7"/>
  <c r="D43" i="7"/>
  <c r="S43" i="7"/>
  <c r="K43" i="7"/>
  <c r="F42" i="7"/>
  <c r="M42" i="7"/>
  <c r="E42" i="7"/>
  <c r="L42" i="7"/>
  <c r="D42" i="7"/>
  <c r="S42" i="7"/>
  <c r="K42" i="7"/>
  <c r="C7" i="7"/>
  <c r="L7" i="7"/>
  <c r="M7" i="7"/>
  <c r="N7" i="7"/>
  <c r="W7" i="7"/>
  <c r="X7" i="7"/>
  <c r="Y7" i="7"/>
  <c r="K6" i="7"/>
  <c r="P6" i="7"/>
  <c r="AA6" i="7" s="1"/>
  <c r="Y6" i="7"/>
  <c r="G6" i="7"/>
  <c r="X6" i="7"/>
  <c r="F6" i="7"/>
  <c r="W6" i="7"/>
  <c r="E6" i="7"/>
  <c r="N6" i="7"/>
  <c r="S6" i="7"/>
  <c r="D6" i="7"/>
  <c r="R6" i="7"/>
  <c r="C6" i="7"/>
  <c r="M6" i="7"/>
  <c r="L6" i="7"/>
  <c r="I6" i="7"/>
  <c r="U6" i="7" s="1"/>
  <c r="K7" i="7"/>
  <c r="S7" i="7"/>
  <c r="G7" i="7"/>
  <c r="R7" i="7"/>
  <c r="F7" i="7"/>
  <c r="B8" i="7"/>
  <c r="E7" i="7"/>
  <c r="P7" i="7"/>
  <c r="AA7" i="7" s="1"/>
  <c r="D7" i="7"/>
  <c r="B17" i="3"/>
  <c r="D11" i="8"/>
  <c r="C115" i="2"/>
  <c r="C165" i="1"/>
  <c r="C166" i="1" s="1"/>
  <c r="D116" i="2"/>
  <c r="D115" i="2"/>
  <c r="C116" i="2"/>
  <c r="D114" i="2"/>
  <c r="D113" i="2"/>
  <c r="C158" i="1"/>
  <c r="C159" i="1" s="1"/>
  <c r="C111" i="2"/>
  <c r="C112" i="2" s="1"/>
  <c r="D112" i="2"/>
  <c r="D111" i="2"/>
  <c r="D110" i="2"/>
  <c r="D109" i="2"/>
  <c r="C107" i="2"/>
  <c r="C108" i="2" s="1"/>
  <c r="C151" i="1"/>
  <c r="C152" i="1" s="1"/>
  <c r="D108" i="2"/>
  <c r="D107" i="2"/>
  <c r="D106" i="2"/>
  <c r="D105" i="2"/>
  <c r="C103" i="2"/>
  <c r="C104" i="2" s="1"/>
  <c r="C144" i="1"/>
  <c r="C145" i="1" s="1"/>
  <c r="D104" i="2"/>
  <c r="D103" i="2"/>
  <c r="D102" i="2"/>
  <c r="D101" i="2"/>
  <c r="C137" i="1"/>
  <c r="C138" i="1" s="1"/>
  <c r="C99" i="2"/>
  <c r="C100" i="2" s="1"/>
  <c r="E9" i="3"/>
  <c r="D100" i="2"/>
  <c r="D99" i="2"/>
  <c r="D98" i="2"/>
  <c r="D97" i="2"/>
  <c r="C95" i="2"/>
  <c r="C96" i="2" s="1"/>
  <c r="C131" i="1"/>
  <c r="C132" i="1" s="1"/>
  <c r="D96" i="2"/>
  <c r="D95" i="2"/>
  <c r="D94" i="2"/>
  <c r="D93" i="2"/>
  <c r="C91" i="2"/>
  <c r="C92" i="2" s="1"/>
  <c r="E8" i="3"/>
  <c r="D127" i="1"/>
  <c r="D126" i="1"/>
  <c r="D125" i="1"/>
  <c r="D124" i="1"/>
  <c r="D123" i="1"/>
  <c r="D122" i="1"/>
  <c r="C125" i="1"/>
  <c r="C126" i="1" s="1"/>
  <c r="D92" i="2"/>
  <c r="D91" i="2"/>
  <c r="D90" i="2"/>
  <c r="D89" i="2"/>
  <c r="C87" i="2"/>
  <c r="C88" i="2" s="1"/>
  <c r="C120" i="1"/>
  <c r="C121" i="1" s="1"/>
  <c r="D121" i="1"/>
  <c r="D120" i="1"/>
  <c r="D119" i="1"/>
  <c r="D118" i="1"/>
  <c r="D117" i="1"/>
  <c r="D88" i="2"/>
  <c r="D87" i="2"/>
  <c r="D86" i="2"/>
  <c r="D85" i="2"/>
  <c r="C83" i="2"/>
  <c r="C112" i="1"/>
  <c r="C113" i="1" s="1"/>
  <c r="D116" i="1"/>
  <c r="D115" i="1"/>
  <c r="D114" i="1"/>
  <c r="D113" i="1"/>
  <c r="D112" i="1"/>
  <c r="D84" i="2"/>
  <c r="D83" i="2"/>
  <c r="C84" i="2"/>
  <c r="D82" i="2"/>
  <c r="D81" i="2"/>
  <c r="C79" i="2"/>
  <c r="C107" i="1"/>
  <c r="C108" i="1" s="1"/>
  <c r="D80" i="2"/>
  <c r="C80" i="2"/>
  <c r="D79" i="2"/>
  <c r="D78" i="2"/>
  <c r="D77" i="2"/>
  <c r="C102" i="1"/>
  <c r="C75" i="2"/>
  <c r="C76" i="2"/>
  <c r="D76" i="2"/>
  <c r="D75" i="2"/>
  <c r="D74" i="2"/>
  <c r="D73" i="2"/>
  <c r="C103" i="1"/>
  <c r="C100" i="1"/>
  <c r="C101" i="1" s="1"/>
  <c r="C71" i="2"/>
  <c r="C72" i="2" s="1"/>
  <c r="D72" i="2"/>
  <c r="D71" i="2"/>
  <c r="D70" i="2"/>
  <c r="D69" i="2"/>
  <c r="C67" i="2"/>
  <c r="C95" i="1"/>
  <c r="C96" i="1" s="1"/>
  <c r="D96" i="1"/>
  <c r="D95" i="1"/>
  <c r="D94" i="1"/>
  <c r="D93" i="1"/>
  <c r="D92" i="1"/>
  <c r="D66" i="2"/>
  <c r="D65" i="2"/>
  <c r="D68" i="2"/>
  <c r="C68" i="2"/>
  <c r="D67" i="2"/>
  <c r="C63" i="2"/>
  <c r="C87" i="1"/>
  <c r="C88" i="1" s="1"/>
  <c r="D64" i="2"/>
  <c r="D63" i="2"/>
  <c r="C64" i="2"/>
  <c r="D62" i="2"/>
  <c r="D61" i="2"/>
  <c r="D88" i="1"/>
  <c r="D87" i="1"/>
  <c r="D91" i="1"/>
  <c r="D90" i="1"/>
  <c r="D89" i="1"/>
  <c r="C59" i="2"/>
  <c r="C85" i="1"/>
  <c r="C86" i="1" s="1"/>
  <c r="D86" i="1"/>
  <c r="D85" i="1"/>
  <c r="D84" i="1"/>
  <c r="D83" i="1"/>
  <c r="D82" i="1"/>
  <c r="D60" i="2"/>
  <c r="D59" i="2"/>
  <c r="C60" i="2"/>
  <c r="D58" i="2"/>
  <c r="D57" i="2"/>
  <c r="C80" i="1"/>
  <c r="D81" i="1"/>
  <c r="D80" i="1"/>
  <c r="D79" i="1"/>
  <c r="D78" i="1"/>
  <c r="D77" i="1"/>
  <c r="T46" i="7" l="1"/>
  <c r="V46" i="7" s="1"/>
  <c r="T47" i="7"/>
  <c r="V47" i="7" s="1"/>
  <c r="H47" i="7"/>
  <c r="J47" i="7" s="1"/>
  <c r="O47" i="7"/>
  <c r="Q47" i="7" s="1"/>
  <c r="T45" i="7"/>
  <c r="V45" i="7" s="1"/>
  <c r="Z44" i="7"/>
  <c r="AB44" i="7" s="1"/>
  <c r="O45" i="7"/>
  <c r="Q45" i="7" s="1"/>
  <c r="O46" i="7"/>
  <c r="Q46" i="7" s="1"/>
  <c r="Z45" i="7"/>
  <c r="AB45" i="7" s="1"/>
  <c r="H46" i="7"/>
  <c r="J46" i="7" s="1"/>
  <c r="H44" i="7"/>
  <c r="J44" i="7" s="1"/>
  <c r="H45" i="7"/>
  <c r="J45" i="7" s="1"/>
  <c r="T43" i="7"/>
  <c r="V43" i="7" s="1"/>
  <c r="H43" i="7"/>
  <c r="J43" i="7" s="1"/>
  <c r="T44" i="7"/>
  <c r="V44" i="7" s="1"/>
  <c r="O44" i="7"/>
  <c r="Q44" i="7" s="1"/>
  <c r="O43" i="7"/>
  <c r="Q43" i="7" s="1"/>
  <c r="T6" i="7"/>
  <c r="V6" i="7" s="1"/>
  <c r="T7" i="7"/>
  <c r="Z6" i="7"/>
  <c r="AB6" i="7" s="1"/>
  <c r="Z7" i="7"/>
  <c r="AB7" i="7" s="1"/>
  <c r="H7" i="7"/>
  <c r="O7" i="7"/>
  <c r="Q7" i="7" s="1"/>
  <c r="O6" i="7"/>
  <c r="Q6" i="7" s="1"/>
  <c r="H6" i="7"/>
  <c r="J6" i="7" s="1"/>
  <c r="L8" i="7"/>
  <c r="X8" i="7"/>
  <c r="M8" i="7"/>
  <c r="Y8" i="7"/>
  <c r="N8" i="7"/>
  <c r="F8" i="7"/>
  <c r="C8" i="7"/>
  <c r="D8" i="7"/>
  <c r="P8" i="7"/>
  <c r="AA8" i="7" s="1"/>
  <c r="R8" i="7"/>
  <c r="E8" i="7"/>
  <c r="B9" i="7"/>
  <c r="I8" i="7"/>
  <c r="U8" i="7" s="1"/>
  <c r="K8" i="7"/>
  <c r="W8" i="7"/>
  <c r="G8" i="7"/>
  <c r="S8" i="7"/>
  <c r="D12" i="8"/>
  <c r="C81" i="1"/>
  <c r="D56" i="2"/>
  <c r="D55" i="2"/>
  <c r="C55" i="2"/>
  <c r="C56" i="2" s="1"/>
  <c r="D54" i="2"/>
  <c r="D53" i="2"/>
  <c r="C51" i="2"/>
  <c r="C52" i="2" s="1"/>
  <c r="C75" i="1"/>
  <c r="C76" i="1"/>
  <c r="D52" i="2"/>
  <c r="D51" i="2"/>
  <c r="D50" i="2"/>
  <c r="D49" i="2"/>
  <c r="C48" i="2"/>
  <c r="C71" i="1"/>
  <c r="D48" i="2"/>
  <c r="D47" i="2"/>
  <c r="D44" i="2"/>
  <c r="D43" i="2"/>
  <c r="D66" i="1"/>
  <c r="D65" i="1"/>
  <c r="B14" i="4"/>
  <c r="B7" i="4"/>
  <c r="E7" i="4"/>
  <c r="D3" i="4"/>
  <c r="E11" i="3"/>
  <c r="D46" i="2"/>
  <c r="D45" i="2"/>
  <c r="D42" i="2"/>
  <c r="D41" i="2"/>
  <c r="D64" i="1"/>
  <c r="D63" i="1"/>
  <c r="I7" i="7" s="1"/>
  <c r="U7" i="7" s="1"/>
  <c r="D62" i="1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E7" i="3"/>
  <c r="E6" i="3"/>
  <c r="E6" i="4"/>
  <c r="J7" i="7" l="1"/>
  <c r="V7" i="7"/>
  <c r="Z8" i="7"/>
  <c r="AB8" i="7" s="1"/>
  <c r="T8" i="7"/>
  <c r="V8" i="7" s="1"/>
  <c r="I9" i="7"/>
  <c r="U9" i="7" s="1"/>
  <c r="C9" i="7"/>
  <c r="K9" i="7"/>
  <c r="W9" i="7"/>
  <c r="L9" i="7"/>
  <c r="X9" i="7"/>
  <c r="M9" i="7"/>
  <c r="Y9" i="7"/>
  <c r="N9" i="7"/>
  <c r="R9" i="7"/>
  <c r="T9" i="7" s="1"/>
  <c r="P9" i="7"/>
  <c r="AA9" i="7" s="1"/>
  <c r="S9" i="7"/>
  <c r="B10" i="7"/>
  <c r="F9" i="7"/>
  <c r="G9" i="7"/>
  <c r="D9" i="7"/>
  <c r="E9" i="7"/>
  <c r="H8" i="7"/>
  <c r="J8" i="7" s="1"/>
  <c r="O8" i="7"/>
  <c r="Q8" i="7" s="1"/>
  <c r="G13" i="4"/>
  <c r="C13" i="4"/>
  <c r="D13" i="4" s="1"/>
  <c r="F13" i="4" s="1"/>
  <c r="C7" i="4"/>
  <c r="D7" i="4" s="1"/>
  <c r="F7" i="4" s="1"/>
  <c r="D3" i="8"/>
  <c r="C14" i="4"/>
  <c r="D14" i="4" s="1"/>
  <c r="F14" i="4" s="1"/>
  <c r="G14" i="4"/>
  <c r="G7" i="4"/>
  <c r="H7" i="4" l="1"/>
  <c r="Z9" i="7"/>
  <c r="AB9" i="7" s="1"/>
  <c r="O9" i="7"/>
  <c r="Q9" i="7" s="1"/>
  <c r="H9" i="7"/>
  <c r="F10" i="7"/>
  <c r="R10" i="7"/>
  <c r="G10" i="7"/>
  <c r="S10" i="7"/>
  <c r="X10" i="7"/>
  <c r="I10" i="7"/>
  <c r="U10" i="7" s="1"/>
  <c r="L10" i="7"/>
  <c r="K10" i="7"/>
  <c r="W10" i="7"/>
  <c r="N10" i="7"/>
  <c r="P10" i="7"/>
  <c r="AA10" i="7" s="1"/>
  <c r="Y10" i="7"/>
  <c r="E10" i="7"/>
  <c r="M10" i="7"/>
  <c r="C10" i="7"/>
  <c r="D10" i="7"/>
  <c r="B11" i="7"/>
  <c r="V9" i="7"/>
  <c r="J9" i="7"/>
  <c r="H13" i="4"/>
  <c r="H14" i="4"/>
  <c r="T10" i="7" l="1"/>
  <c r="Z10" i="7"/>
  <c r="AB10" i="7" s="1"/>
  <c r="O10" i="7"/>
  <c r="Q10" i="7" s="1"/>
  <c r="H10" i="7"/>
  <c r="C11" i="7"/>
  <c r="D11" i="7"/>
  <c r="P11" i="7"/>
  <c r="AA11" i="7" s="1"/>
  <c r="E11" i="7"/>
  <c r="B12" i="7"/>
  <c r="F11" i="7"/>
  <c r="R11" i="7"/>
  <c r="T11" i="7" s="1"/>
  <c r="G11" i="7"/>
  <c r="S11" i="7"/>
  <c r="I11" i="7"/>
  <c r="U11" i="7" s="1"/>
  <c r="M11" i="7"/>
  <c r="W11" i="7"/>
  <c r="N11" i="7"/>
  <c r="X11" i="7"/>
  <c r="Y11" i="7"/>
  <c r="K11" i="7"/>
  <c r="L11" i="7"/>
  <c r="J10" i="7"/>
  <c r="V10" i="7"/>
  <c r="B6" i="4"/>
  <c r="G3" i="4"/>
  <c r="B12" i="4"/>
  <c r="Z11" i="7" l="1"/>
  <c r="H11" i="7"/>
  <c r="J11" i="7" s="1"/>
  <c r="O11" i="7"/>
  <c r="Q11" i="7" s="1"/>
  <c r="V11" i="7"/>
  <c r="L12" i="7"/>
  <c r="X12" i="7"/>
  <c r="R12" i="7"/>
  <c r="T12" i="7" s="1"/>
  <c r="M12" i="7"/>
  <c r="Y12" i="7"/>
  <c r="N12" i="7"/>
  <c r="C12" i="7"/>
  <c r="F12" i="7"/>
  <c r="D12" i="7"/>
  <c r="P12" i="7"/>
  <c r="AA12" i="7" s="1"/>
  <c r="E12" i="7"/>
  <c r="B13" i="7"/>
  <c r="S12" i="7"/>
  <c r="W12" i="7"/>
  <c r="G12" i="7"/>
  <c r="K12" i="7"/>
  <c r="I12" i="7"/>
  <c r="U12" i="7" s="1"/>
  <c r="AB11" i="7"/>
  <c r="B8" i="3"/>
  <c r="B7" i="3"/>
  <c r="G3" i="3"/>
  <c r="G3" i="8"/>
  <c r="B19" i="3"/>
  <c r="B11" i="3"/>
  <c r="B16" i="3"/>
  <c r="B6" i="3"/>
  <c r="Z12" i="7" l="1"/>
  <c r="AB12" i="7" s="1"/>
  <c r="O12" i="7"/>
  <c r="Q12" i="7" s="1"/>
  <c r="H12" i="7"/>
  <c r="J12" i="7" s="1"/>
  <c r="V12" i="7"/>
  <c r="I13" i="7"/>
  <c r="U13" i="7" s="1"/>
  <c r="K13" i="7"/>
  <c r="W13" i="7"/>
  <c r="C13" i="7"/>
  <c r="L13" i="7"/>
  <c r="X13" i="7"/>
  <c r="M13" i="7"/>
  <c r="Y13" i="7"/>
  <c r="N13" i="7"/>
  <c r="R13" i="7"/>
  <c r="S13" i="7"/>
  <c r="B14" i="7"/>
  <c r="E13" i="7"/>
  <c r="F13" i="7"/>
  <c r="D13" i="7"/>
  <c r="P13" i="7"/>
  <c r="AA13" i="7" s="1"/>
  <c r="G13" i="7"/>
  <c r="G12" i="4"/>
  <c r="C12" i="4"/>
  <c r="D12" i="4" s="1"/>
  <c r="D15" i="4" s="1"/>
  <c r="C6" i="4"/>
  <c r="D6" i="4" s="1"/>
  <c r="D8" i="4" s="1"/>
  <c r="G6" i="4"/>
  <c r="D3" i="3"/>
  <c r="Z13" i="7" l="1"/>
  <c r="AB13" i="7" s="1"/>
  <c r="T13" i="7"/>
  <c r="V13" i="7" s="1"/>
  <c r="O13" i="7"/>
  <c r="Q13" i="7" s="1"/>
  <c r="H13" i="7"/>
  <c r="J13" i="7" s="1"/>
  <c r="F14" i="7"/>
  <c r="R14" i="7"/>
  <c r="G14" i="7"/>
  <c r="S14" i="7"/>
  <c r="L14" i="7"/>
  <c r="I14" i="7"/>
  <c r="U14" i="7" s="1"/>
  <c r="X14" i="7"/>
  <c r="K14" i="7"/>
  <c r="W14" i="7"/>
  <c r="Y14" i="7"/>
  <c r="E14" i="7"/>
  <c r="C14" i="7"/>
  <c r="B15" i="7"/>
  <c r="D14" i="7"/>
  <c r="P14" i="7"/>
  <c r="AA14" i="7" s="1"/>
  <c r="M14" i="7"/>
  <c r="N14" i="7"/>
  <c r="C18" i="3"/>
  <c r="D18" i="3" s="1"/>
  <c r="F18" i="3" s="1"/>
  <c r="G18" i="3"/>
  <c r="C17" i="3"/>
  <c r="D17" i="3" s="1"/>
  <c r="F17" i="3" s="1"/>
  <c r="G17" i="3"/>
  <c r="G11" i="8"/>
  <c r="G6" i="8"/>
  <c r="G8" i="3"/>
  <c r="G9" i="3"/>
  <c r="C9" i="3"/>
  <c r="D9" i="3" s="1"/>
  <c r="F9" i="3" s="1"/>
  <c r="C8" i="3"/>
  <c r="D8" i="3" s="1"/>
  <c r="F8" i="3" s="1"/>
  <c r="C19" i="3"/>
  <c r="D19" i="3" s="1"/>
  <c r="F19" i="3" s="1"/>
  <c r="G19" i="3"/>
  <c r="C11" i="3"/>
  <c r="D11" i="3" s="1"/>
  <c r="G11" i="3"/>
  <c r="F6" i="4"/>
  <c r="F12" i="4"/>
  <c r="G7" i="3"/>
  <c r="G6" i="3"/>
  <c r="C16" i="3"/>
  <c r="D16" i="3" s="1"/>
  <c r="C7" i="3"/>
  <c r="D7" i="3" s="1"/>
  <c r="F7" i="3" s="1"/>
  <c r="G16" i="3"/>
  <c r="C6" i="3"/>
  <c r="D6" i="3" s="1"/>
  <c r="F15" i="4" l="1"/>
  <c r="F20" i="4" s="1"/>
  <c r="H12" i="4"/>
  <c r="H15" i="4" s="1"/>
  <c r="E20" i="4" s="1"/>
  <c r="G20" i="4" s="1"/>
  <c r="F8" i="4"/>
  <c r="F19" i="4" s="1"/>
  <c r="H6" i="4"/>
  <c r="H14" i="7"/>
  <c r="J14" i="7" s="1"/>
  <c r="Z14" i="7"/>
  <c r="AB14" i="7" s="1"/>
  <c r="T14" i="7"/>
  <c r="V14" i="7" s="1"/>
  <c r="O14" i="7"/>
  <c r="Q14" i="7" s="1"/>
  <c r="C15" i="7"/>
  <c r="D15" i="7"/>
  <c r="P15" i="7"/>
  <c r="AA15" i="7" s="1"/>
  <c r="E15" i="7"/>
  <c r="B16" i="7"/>
  <c r="I15" i="7"/>
  <c r="U15" i="7" s="1"/>
  <c r="F15" i="7"/>
  <c r="R15" i="7"/>
  <c r="G15" i="7"/>
  <c r="S15" i="7"/>
  <c r="W15" i="7"/>
  <c r="Y15" i="7"/>
  <c r="X15" i="7"/>
  <c r="K15" i="7"/>
  <c r="N15" i="7"/>
  <c r="L15" i="7"/>
  <c r="M15" i="7"/>
  <c r="H18" i="3"/>
  <c r="H17" i="3"/>
  <c r="D20" i="3"/>
  <c r="H8" i="3"/>
  <c r="H9" i="3"/>
  <c r="F11" i="3"/>
  <c r="H11" i="3" s="1"/>
  <c r="D12" i="3"/>
  <c r="D10" i="3"/>
  <c r="H19" i="3"/>
  <c r="F6" i="3"/>
  <c r="F10" i="3" s="1"/>
  <c r="F16" i="3"/>
  <c r="H7" i="3"/>
  <c r="Z15" i="7" l="1"/>
  <c r="AB15" i="7" s="1"/>
  <c r="H15" i="7"/>
  <c r="J15" i="7" s="1"/>
  <c r="T15" i="7"/>
  <c r="V15" i="7" s="1"/>
  <c r="O15" i="7"/>
  <c r="Q15" i="7" s="1"/>
  <c r="L16" i="7"/>
  <c r="X16" i="7"/>
  <c r="M16" i="7"/>
  <c r="Y16" i="7"/>
  <c r="N16" i="7"/>
  <c r="C16" i="7"/>
  <c r="R16" i="7"/>
  <c r="D16" i="7"/>
  <c r="P16" i="7"/>
  <c r="AA16" i="7" s="1"/>
  <c r="E16" i="7"/>
  <c r="B17" i="7"/>
  <c r="W16" i="7"/>
  <c r="F16" i="7"/>
  <c r="I16" i="7"/>
  <c r="U16" i="7" s="1"/>
  <c r="G16" i="7"/>
  <c r="S16" i="7"/>
  <c r="K16" i="7"/>
  <c r="F20" i="3"/>
  <c r="F25" i="3" s="1"/>
  <c r="F12" i="3"/>
  <c r="H8" i="4"/>
  <c r="E19" i="4" s="1"/>
  <c r="H19" i="4" s="1"/>
  <c r="D20" i="4"/>
  <c r="B20" i="4" s="1"/>
  <c r="H6" i="3"/>
  <c r="H10" i="3" s="1"/>
  <c r="H12" i="3" s="1"/>
  <c r="H16" i="3"/>
  <c r="H20" i="3" s="1"/>
  <c r="E25" i="3" s="1"/>
  <c r="Z16" i="7" l="1"/>
  <c r="AB16" i="7" s="1"/>
  <c r="O16" i="7"/>
  <c r="Q16" i="7" s="1"/>
  <c r="T16" i="7"/>
  <c r="V16" i="7" s="1"/>
  <c r="H16" i="7"/>
  <c r="J16" i="7" s="1"/>
  <c r="I17" i="7"/>
  <c r="U17" i="7" s="1"/>
  <c r="K17" i="7"/>
  <c r="W17" i="7"/>
  <c r="C17" i="7"/>
  <c r="L17" i="7"/>
  <c r="X17" i="7"/>
  <c r="M17" i="7"/>
  <c r="Y17" i="7"/>
  <c r="N17" i="7"/>
  <c r="S17" i="7"/>
  <c r="D17" i="7"/>
  <c r="E17" i="7"/>
  <c r="B18" i="7"/>
  <c r="G17" i="7"/>
  <c r="F17" i="7"/>
  <c r="R17" i="7"/>
  <c r="P17" i="7"/>
  <c r="AA17" i="7" s="1"/>
  <c r="F11" i="8"/>
  <c r="F12" i="8" s="1"/>
  <c r="F17" i="8" s="1"/>
  <c r="F24" i="3"/>
  <c r="F6" i="8"/>
  <c r="D19" i="4"/>
  <c r="B19" i="4" s="1"/>
  <c r="G19" i="4"/>
  <c r="E24" i="3"/>
  <c r="G25" i="3"/>
  <c r="D25" i="3"/>
  <c r="B25" i="3" s="1"/>
  <c r="H17" i="7" l="1"/>
  <c r="J17" i="7" s="1"/>
  <c r="Z17" i="7"/>
  <c r="AB17" i="7" s="1"/>
  <c r="O17" i="7"/>
  <c r="Q17" i="7" s="1"/>
  <c r="T17" i="7"/>
  <c r="V17" i="7" s="1"/>
  <c r="F18" i="7"/>
  <c r="R18" i="7"/>
  <c r="T18" i="7" s="1"/>
  <c r="G18" i="7"/>
  <c r="S18" i="7"/>
  <c r="I18" i="7"/>
  <c r="U18" i="7" s="1"/>
  <c r="K18" i="7"/>
  <c r="W18" i="7"/>
  <c r="P18" i="7"/>
  <c r="AA18" i="7" s="1"/>
  <c r="X18" i="7"/>
  <c r="Y18" i="7"/>
  <c r="E18" i="7"/>
  <c r="B19" i="7"/>
  <c r="C18" i="7"/>
  <c r="D18" i="7"/>
  <c r="N18" i="7"/>
  <c r="L18" i="7"/>
  <c r="M18" i="7"/>
  <c r="H11" i="8"/>
  <c r="H12" i="8" s="1"/>
  <c r="E17" i="8" s="1"/>
  <c r="G17" i="8" s="1"/>
  <c r="F7" i="8"/>
  <c r="F16" i="8" s="1"/>
  <c r="H6" i="8"/>
  <c r="H7" i="8" s="1"/>
  <c r="E16" i="8" s="1"/>
  <c r="H24" i="3"/>
  <c r="D24" i="3"/>
  <c r="B24" i="3" s="1"/>
  <c r="G24" i="3"/>
  <c r="Z18" i="7" l="1"/>
  <c r="AB18" i="7" s="1"/>
  <c r="O18" i="7"/>
  <c r="Q18" i="7" s="1"/>
  <c r="H18" i="7"/>
  <c r="J18" i="7" s="1"/>
  <c r="C19" i="7"/>
  <c r="D19" i="7"/>
  <c r="P19" i="7"/>
  <c r="AA19" i="7" s="1"/>
  <c r="E19" i="7"/>
  <c r="B20" i="7"/>
  <c r="F19" i="7"/>
  <c r="R19" i="7"/>
  <c r="T19" i="7" s="1"/>
  <c r="G19" i="7"/>
  <c r="S19" i="7"/>
  <c r="M19" i="7"/>
  <c r="N19" i="7"/>
  <c r="W19" i="7"/>
  <c r="X19" i="7"/>
  <c r="Y19" i="7"/>
  <c r="K19" i="7"/>
  <c r="L19" i="7"/>
  <c r="I19" i="7"/>
  <c r="U19" i="7" s="1"/>
  <c r="V18" i="7"/>
  <c r="D17" i="8"/>
  <c r="B17" i="8" s="1"/>
  <c r="H16" i="8"/>
  <c r="G16" i="8"/>
  <c r="D16" i="8"/>
  <c r="B16" i="8" s="1"/>
  <c r="Z19" i="7" l="1"/>
  <c r="AB19" i="7" s="1"/>
  <c r="H19" i="7"/>
  <c r="J19" i="7" s="1"/>
  <c r="O19" i="7"/>
  <c r="Q19" i="7" s="1"/>
  <c r="V19" i="7"/>
  <c r="L20" i="7"/>
  <c r="X20" i="7"/>
  <c r="M20" i="7"/>
  <c r="Y20" i="7"/>
  <c r="N20" i="7"/>
  <c r="C20" i="7"/>
  <c r="D20" i="7"/>
  <c r="P20" i="7"/>
  <c r="AA20" i="7" s="1"/>
  <c r="E20" i="7"/>
  <c r="B21" i="7"/>
  <c r="R20" i="7"/>
  <c r="T20" i="7" s="1"/>
  <c r="S20" i="7"/>
  <c r="K20" i="7"/>
  <c r="W20" i="7"/>
  <c r="I20" i="7"/>
  <c r="U20" i="7" s="1"/>
  <c r="F20" i="7"/>
  <c r="G20" i="7"/>
  <c r="Z20" i="7" l="1"/>
  <c r="AB20" i="7" s="1"/>
  <c r="H20" i="7"/>
  <c r="J20" i="7" s="1"/>
  <c r="O20" i="7"/>
  <c r="Q20" i="7" s="1"/>
  <c r="V20" i="7"/>
  <c r="I21" i="7"/>
  <c r="U21" i="7" s="1"/>
  <c r="K21" i="7"/>
  <c r="W21" i="7"/>
  <c r="L21" i="7"/>
  <c r="X21" i="7"/>
  <c r="M21" i="7"/>
  <c r="Y21" i="7"/>
  <c r="N21" i="7"/>
  <c r="G21" i="7"/>
  <c r="P21" i="7"/>
  <c r="AA21" i="7" s="1"/>
  <c r="R21" i="7"/>
  <c r="S21" i="7"/>
  <c r="E21" i="7"/>
  <c r="B22" i="7"/>
  <c r="F21" i="7"/>
  <c r="C21" i="7"/>
  <c r="D21" i="7"/>
  <c r="Z21" i="7" l="1"/>
  <c r="AB21" i="7" s="1"/>
  <c r="O21" i="7"/>
  <c r="Q21" i="7" s="1"/>
  <c r="H21" i="7"/>
  <c r="J21" i="7" s="1"/>
  <c r="T21" i="7"/>
  <c r="V21" i="7" s="1"/>
  <c r="F22" i="7"/>
  <c r="R22" i="7"/>
  <c r="G22" i="7"/>
  <c r="S22" i="7"/>
  <c r="I22" i="7"/>
  <c r="U22" i="7" s="1"/>
  <c r="K22" i="7"/>
  <c r="W22" i="7"/>
  <c r="D22" i="7"/>
  <c r="L22" i="7"/>
  <c r="M22" i="7"/>
  <c r="E22" i="7"/>
  <c r="B23" i="7"/>
  <c r="N22" i="7"/>
  <c r="P22" i="7"/>
  <c r="AA22" i="7" s="1"/>
  <c r="C22" i="7"/>
  <c r="X22" i="7"/>
  <c r="Y22" i="7"/>
  <c r="H22" i="7" l="1"/>
  <c r="J22" i="7" s="1"/>
  <c r="T22" i="7"/>
  <c r="V22" i="7" s="1"/>
  <c r="Z22" i="7"/>
  <c r="AB22" i="7" s="1"/>
  <c r="O22" i="7"/>
  <c r="Q22" i="7" s="1"/>
  <c r="C23" i="7"/>
  <c r="D23" i="7"/>
  <c r="P23" i="7"/>
  <c r="AA23" i="7" s="1"/>
  <c r="E23" i="7"/>
  <c r="B24" i="7"/>
  <c r="F23" i="7"/>
  <c r="R23" i="7"/>
  <c r="T23" i="7" s="1"/>
  <c r="G23" i="7"/>
  <c r="S23" i="7"/>
  <c r="Y23" i="7"/>
  <c r="I23" i="7"/>
  <c r="U23" i="7" s="1"/>
  <c r="K23" i="7"/>
  <c r="N23" i="7"/>
  <c r="L23" i="7"/>
  <c r="M23" i="7"/>
  <c r="W23" i="7"/>
  <c r="X23" i="7"/>
  <c r="O23" i="7" l="1"/>
  <c r="Q23" i="7" s="1"/>
  <c r="H23" i="7"/>
  <c r="J23" i="7" s="1"/>
  <c r="Z23" i="7"/>
  <c r="AB23" i="7" s="1"/>
  <c r="V23" i="7"/>
  <c r="L24" i="7"/>
  <c r="X24" i="7"/>
  <c r="M24" i="7"/>
  <c r="Y24" i="7"/>
  <c r="N24" i="7"/>
  <c r="C24" i="7"/>
  <c r="D24" i="7"/>
  <c r="P24" i="7"/>
  <c r="AA24" i="7" s="1"/>
  <c r="E24" i="7"/>
  <c r="B25" i="7"/>
  <c r="G24" i="7"/>
  <c r="W24" i="7"/>
  <c r="F24" i="7"/>
  <c r="K24" i="7"/>
  <c r="I24" i="7"/>
  <c r="U24" i="7" s="1"/>
  <c r="S24" i="7"/>
  <c r="R24" i="7"/>
  <c r="T24" i="7" s="1"/>
  <c r="Z24" i="7" l="1"/>
  <c r="AB24" i="7" s="1"/>
  <c r="H24" i="7"/>
  <c r="J24" i="7" s="1"/>
  <c r="O24" i="7"/>
  <c r="Q24" i="7" s="1"/>
  <c r="V24" i="7"/>
  <c r="I25" i="7"/>
  <c r="U25" i="7" s="1"/>
  <c r="K25" i="7"/>
  <c r="W25" i="7"/>
  <c r="L25" i="7"/>
  <c r="X25" i="7"/>
  <c r="M25" i="7"/>
  <c r="Y25" i="7"/>
  <c r="N25" i="7"/>
  <c r="S25" i="7"/>
  <c r="C25" i="7"/>
  <c r="D25" i="7"/>
  <c r="E25" i="7"/>
  <c r="B26" i="7"/>
  <c r="F25" i="7"/>
  <c r="G25" i="7"/>
  <c r="R25" i="7"/>
  <c r="T25" i="7" s="1"/>
  <c r="P25" i="7"/>
  <c r="AA25" i="7" s="1"/>
  <c r="H25" i="7" l="1"/>
  <c r="J25" i="7" s="1"/>
  <c r="Z25" i="7"/>
  <c r="AB25" i="7" s="1"/>
  <c r="O25" i="7"/>
  <c r="Q25" i="7" s="1"/>
  <c r="V25" i="7"/>
  <c r="F26" i="7"/>
  <c r="R26" i="7"/>
  <c r="G26" i="7"/>
  <c r="S26" i="7"/>
  <c r="I26" i="7"/>
  <c r="U26" i="7" s="1"/>
  <c r="K26" i="7"/>
  <c r="W26" i="7"/>
  <c r="P26" i="7"/>
  <c r="AA26" i="7" s="1"/>
  <c r="Y26" i="7"/>
  <c r="X26" i="7"/>
  <c r="D26" i="7"/>
  <c r="E26" i="7"/>
  <c r="B27" i="7"/>
  <c r="C26" i="7"/>
  <c r="N26" i="7"/>
  <c r="L26" i="7"/>
  <c r="M26" i="7"/>
  <c r="T26" i="7" l="1"/>
  <c r="V26" i="7" s="1"/>
  <c r="H26" i="7"/>
  <c r="J26" i="7" s="1"/>
  <c r="Z26" i="7"/>
  <c r="AB26" i="7" s="1"/>
  <c r="O26" i="7"/>
  <c r="Q26" i="7" s="1"/>
  <c r="C27" i="7"/>
  <c r="D27" i="7"/>
  <c r="P27" i="7"/>
  <c r="AA27" i="7" s="1"/>
  <c r="E27" i="7"/>
  <c r="B28" i="7"/>
  <c r="F27" i="7"/>
  <c r="R27" i="7"/>
  <c r="G27" i="7"/>
  <c r="S27" i="7"/>
  <c r="M27" i="7"/>
  <c r="N27" i="7"/>
  <c r="W27" i="7"/>
  <c r="Y27" i="7"/>
  <c r="X27" i="7"/>
  <c r="K27" i="7"/>
  <c r="L27" i="7"/>
  <c r="I27" i="7"/>
  <c r="U27" i="7" s="1"/>
  <c r="Z27" i="7" l="1"/>
  <c r="AB27" i="7" s="1"/>
  <c r="H27" i="7"/>
  <c r="J27" i="7" s="1"/>
  <c r="T27" i="7"/>
  <c r="V27" i="7" s="1"/>
  <c r="O27" i="7"/>
  <c r="Q27" i="7" s="1"/>
  <c r="L28" i="7"/>
  <c r="X28" i="7"/>
  <c r="M28" i="7"/>
  <c r="Y28" i="7"/>
  <c r="N28" i="7"/>
  <c r="C28" i="7"/>
  <c r="D28" i="7"/>
  <c r="P28" i="7"/>
  <c r="AA28" i="7" s="1"/>
  <c r="E28" i="7"/>
  <c r="B29" i="7"/>
  <c r="S28" i="7"/>
  <c r="K28" i="7"/>
  <c r="R28" i="7"/>
  <c r="W28" i="7"/>
  <c r="I28" i="7"/>
  <c r="U28" i="7" s="1"/>
  <c r="F28" i="7"/>
  <c r="G28" i="7"/>
  <c r="T28" i="7" l="1"/>
  <c r="V28" i="7" s="1"/>
  <c r="O28" i="7"/>
  <c r="Q28" i="7" s="1"/>
  <c r="Z28" i="7"/>
  <c r="AB28" i="7" s="1"/>
  <c r="H28" i="7"/>
  <c r="J28" i="7" s="1"/>
  <c r="I29" i="7"/>
  <c r="U29" i="7" s="1"/>
  <c r="K29" i="7"/>
  <c r="W29" i="7"/>
  <c r="L29" i="7"/>
  <c r="X29" i="7"/>
  <c r="M29" i="7"/>
  <c r="Y29" i="7"/>
  <c r="N29" i="7"/>
  <c r="G29" i="7"/>
  <c r="P29" i="7"/>
  <c r="AA29" i="7" s="1"/>
  <c r="S29" i="7"/>
  <c r="R29" i="7"/>
  <c r="E29" i="7"/>
  <c r="B30" i="7"/>
  <c r="F29" i="7"/>
  <c r="D29" i="7"/>
  <c r="C29" i="7"/>
  <c r="H29" i="7" l="1"/>
  <c r="J29" i="7" s="1"/>
  <c r="O29" i="7"/>
  <c r="Q29" i="7" s="1"/>
  <c r="T29" i="7"/>
  <c r="V29" i="7" s="1"/>
  <c r="Z29" i="7"/>
  <c r="AB29" i="7" s="1"/>
  <c r="F30" i="7"/>
  <c r="R30" i="7"/>
  <c r="T30" i="7" s="1"/>
  <c r="G30" i="7"/>
  <c r="S30" i="7"/>
  <c r="I30" i="7"/>
  <c r="U30" i="7" s="1"/>
  <c r="K30" i="7"/>
  <c r="W30" i="7"/>
  <c r="D30" i="7"/>
  <c r="M30" i="7"/>
  <c r="E30" i="7"/>
  <c r="B31" i="7"/>
  <c r="L30" i="7"/>
  <c r="N30" i="7"/>
  <c r="P30" i="7"/>
  <c r="AA30" i="7" s="1"/>
  <c r="C30" i="7"/>
  <c r="Y30" i="7"/>
  <c r="X30" i="7"/>
  <c r="O30" i="7" l="1"/>
  <c r="Q30" i="7" s="1"/>
  <c r="H30" i="7"/>
  <c r="J30" i="7" s="1"/>
  <c r="Z30" i="7"/>
  <c r="AB30" i="7" s="1"/>
  <c r="V30" i="7"/>
  <c r="C31" i="7"/>
  <c r="D31" i="7"/>
  <c r="P31" i="7"/>
  <c r="AA31" i="7" s="1"/>
  <c r="E31" i="7"/>
  <c r="B32" i="7"/>
  <c r="F31" i="7"/>
  <c r="R31" i="7"/>
  <c r="G31" i="7"/>
  <c r="S31" i="7"/>
  <c r="Y31" i="7"/>
  <c r="I31" i="7"/>
  <c r="U31" i="7" s="1"/>
  <c r="K31" i="7"/>
  <c r="M31" i="7"/>
  <c r="N31" i="7"/>
  <c r="L31" i="7"/>
  <c r="W31" i="7"/>
  <c r="X31" i="7"/>
  <c r="O31" i="7" l="1"/>
  <c r="Q31" i="7" s="1"/>
  <c r="T31" i="7"/>
  <c r="V31" i="7" s="1"/>
  <c r="H31" i="7"/>
  <c r="J31" i="7" s="1"/>
  <c r="Z31" i="7"/>
  <c r="AB31" i="7" s="1"/>
  <c r="L32" i="7"/>
  <c r="X32" i="7"/>
  <c r="M32" i="7"/>
  <c r="Y32" i="7"/>
  <c r="N32" i="7"/>
  <c r="C32" i="7"/>
  <c r="D32" i="7"/>
  <c r="P32" i="7"/>
  <c r="AA32" i="7" s="1"/>
  <c r="E32" i="7"/>
  <c r="B33" i="7"/>
  <c r="W32" i="7"/>
  <c r="F32" i="7"/>
  <c r="K32" i="7"/>
  <c r="I32" i="7"/>
  <c r="U32" i="7" s="1"/>
  <c r="G32" i="7"/>
  <c r="R32" i="7"/>
  <c r="T32" i="7" s="1"/>
  <c r="S32" i="7"/>
  <c r="Z32" i="7" l="1"/>
  <c r="AB32" i="7" s="1"/>
  <c r="H32" i="7"/>
  <c r="J32" i="7" s="1"/>
  <c r="O32" i="7"/>
  <c r="Q32" i="7" s="1"/>
  <c r="I33" i="7"/>
  <c r="U33" i="7" s="1"/>
  <c r="K33" i="7"/>
  <c r="W33" i="7"/>
  <c r="L33" i="7"/>
  <c r="X33" i="7"/>
  <c r="M33" i="7"/>
  <c r="Y33" i="7"/>
  <c r="N33" i="7"/>
  <c r="S33" i="7"/>
  <c r="D33" i="7"/>
  <c r="C33" i="7"/>
  <c r="E33" i="7"/>
  <c r="B34" i="7"/>
  <c r="F33" i="7"/>
  <c r="G33" i="7"/>
  <c r="R33" i="7"/>
  <c r="T33" i="7" s="1"/>
  <c r="P33" i="7"/>
  <c r="AA33" i="7" s="1"/>
  <c r="V32" i="7"/>
  <c r="H33" i="7" l="1"/>
  <c r="J33" i="7" s="1"/>
  <c r="Z33" i="7"/>
  <c r="AB33" i="7" s="1"/>
  <c r="O33" i="7"/>
  <c r="Q33" i="7" s="1"/>
  <c r="V33" i="7"/>
  <c r="F34" i="7"/>
  <c r="R34" i="7"/>
  <c r="T34" i="7" s="1"/>
  <c r="G34" i="7"/>
  <c r="S34" i="7"/>
  <c r="I34" i="7"/>
  <c r="U34" i="7" s="1"/>
  <c r="K34" i="7"/>
  <c r="W34" i="7"/>
  <c r="P34" i="7"/>
  <c r="AA34" i="7" s="1"/>
  <c r="X34" i="7"/>
  <c r="D34" i="7"/>
  <c r="E34" i="7"/>
  <c r="B35" i="7"/>
  <c r="C34" i="7"/>
  <c r="N34" i="7"/>
  <c r="L34" i="7"/>
  <c r="M34" i="7"/>
  <c r="Y34" i="7"/>
  <c r="Z34" i="7" l="1"/>
  <c r="AB34" i="7" s="1"/>
  <c r="O34" i="7"/>
  <c r="Q34" i="7" s="1"/>
  <c r="H34" i="7"/>
  <c r="J34" i="7" s="1"/>
  <c r="V34" i="7"/>
  <c r="C35" i="7"/>
  <c r="D35" i="7"/>
  <c r="P35" i="7"/>
  <c r="AA35" i="7" s="1"/>
  <c r="E35" i="7"/>
  <c r="B36" i="7"/>
  <c r="F35" i="7"/>
  <c r="R35" i="7"/>
  <c r="G35" i="7"/>
  <c r="S35" i="7"/>
  <c r="M35" i="7"/>
  <c r="N35" i="7"/>
  <c r="W35" i="7"/>
  <c r="Y35" i="7"/>
  <c r="X35" i="7"/>
  <c r="K35" i="7"/>
  <c r="L35" i="7"/>
  <c r="I35" i="7"/>
  <c r="U35" i="7" s="1"/>
  <c r="Z35" i="7" l="1"/>
  <c r="AB35" i="7" s="1"/>
  <c r="O35" i="7"/>
  <c r="Q35" i="7" s="1"/>
  <c r="T35" i="7"/>
  <c r="V35" i="7" s="1"/>
  <c r="H35" i="7"/>
  <c r="J35" i="7" s="1"/>
  <c r="L36" i="7"/>
  <c r="X36" i="7"/>
  <c r="M36" i="7"/>
  <c r="Y36" i="7"/>
  <c r="N36" i="7"/>
  <c r="C36" i="7"/>
  <c r="D36" i="7"/>
  <c r="P36" i="7"/>
  <c r="AA36" i="7" s="1"/>
  <c r="E36" i="7"/>
  <c r="B37" i="7"/>
  <c r="R36" i="7"/>
  <c r="T36" i="7" s="1"/>
  <c r="K36" i="7"/>
  <c r="W36" i="7"/>
  <c r="I36" i="7"/>
  <c r="U36" i="7" s="1"/>
  <c r="S36" i="7"/>
  <c r="F36" i="7"/>
  <c r="G36" i="7"/>
  <c r="Z36" i="7" l="1"/>
  <c r="AB36" i="7" s="1"/>
  <c r="H36" i="7"/>
  <c r="J36" i="7" s="1"/>
  <c r="O36" i="7"/>
  <c r="Q36" i="7" s="1"/>
  <c r="I37" i="7"/>
  <c r="U37" i="7" s="1"/>
  <c r="K37" i="7"/>
  <c r="W37" i="7"/>
  <c r="L37" i="7"/>
  <c r="X37" i="7"/>
  <c r="M37" i="7"/>
  <c r="Y37" i="7"/>
  <c r="N37" i="7"/>
  <c r="G37" i="7"/>
  <c r="S37" i="7"/>
  <c r="R37" i="7"/>
  <c r="T37" i="7" s="1"/>
  <c r="E37" i="7"/>
  <c r="B38" i="7"/>
  <c r="F37" i="7"/>
  <c r="C37" i="7"/>
  <c r="D37" i="7"/>
  <c r="P37" i="7"/>
  <c r="AA37" i="7" s="1"/>
  <c r="V36" i="7"/>
  <c r="O37" i="7" l="1"/>
  <c r="Q37" i="7" s="1"/>
  <c r="Z37" i="7"/>
  <c r="AB37" i="7" s="1"/>
  <c r="H37" i="7"/>
  <c r="J37" i="7" s="1"/>
  <c r="V37" i="7"/>
  <c r="F38" i="7"/>
  <c r="R38" i="7"/>
  <c r="T38" i="7" s="1"/>
  <c r="G38" i="7"/>
  <c r="S38" i="7"/>
  <c r="I38" i="7"/>
  <c r="U38" i="7" s="1"/>
  <c r="K38" i="7"/>
  <c r="W38" i="7"/>
  <c r="D38" i="7"/>
  <c r="L38" i="7"/>
  <c r="E38" i="7"/>
  <c r="B39" i="7"/>
  <c r="N38" i="7"/>
  <c r="P38" i="7"/>
  <c r="AA38" i="7" s="1"/>
  <c r="C38" i="7"/>
  <c r="Y38" i="7"/>
  <c r="X38" i="7"/>
  <c r="M38" i="7"/>
  <c r="O38" i="7" l="1"/>
  <c r="Q38" i="7" s="1"/>
  <c r="Z38" i="7"/>
  <c r="AB38" i="7" s="1"/>
  <c r="H38" i="7"/>
  <c r="J38" i="7" s="1"/>
  <c r="V38" i="7"/>
  <c r="C39" i="7"/>
  <c r="D39" i="7"/>
  <c r="P39" i="7"/>
  <c r="AA39" i="7" s="1"/>
  <c r="E39" i="7"/>
  <c r="B40" i="7"/>
  <c r="F39" i="7"/>
  <c r="R39" i="7"/>
  <c r="T39" i="7" s="1"/>
  <c r="G39" i="7"/>
  <c r="S39" i="7"/>
  <c r="Y39" i="7"/>
  <c r="I39" i="7"/>
  <c r="U39" i="7" s="1"/>
  <c r="K39" i="7"/>
  <c r="L39" i="7"/>
  <c r="M39" i="7"/>
  <c r="W39" i="7"/>
  <c r="X39" i="7"/>
  <c r="N39" i="7"/>
  <c r="H39" i="7" l="1"/>
  <c r="J39" i="7" s="1"/>
  <c r="O39" i="7"/>
  <c r="Q39" i="7" s="1"/>
  <c r="Z39" i="7"/>
  <c r="AB39" i="7" s="1"/>
  <c r="V39" i="7"/>
  <c r="L40" i="7"/>
  <c r="X40" i="7"/>
  <c r="M40" i="7"/>
  <c r="Y40" i="7"/>
  <c r="N40" i="7"/>
  <c r="C40" i="7"/>
  <c r="D40" i="7"/>
  <c r="P40" i="7"/>
  <c r="AA40" i="7" s="1"/>
  <c r="E40" i="7"/>
  <c r="B41" i="7"/>
  <c r="W40" i="7"/>
  <c r="F40" i="7"/>
  <c r="I40" i="7"/>
  <c r="U40" i="7" s="1"/>
  <c r="G40" i="7"/>
  <c r="S40" i="7"/>
  <c r="K40" i="7"/>
  <c r="R40" i="7"/>
  <c r="T40" i="7" s="1"/>
  <c r="O40" i="7" l="1"/>
  <c r="Q40" i="7" s="1"/>
  <c r="Z40" i="7"/>
  <c r="AB40" i="7" s="1"/>
  <c r="H40" i="7"/>
  <c r="J40" i="7" s="1"/>
  <c r="V40" i="7"/>
  <c r="I41" i="7"/>
  <c r="U41" i="7" s="1"/>
  <c r="K41" i="7"/>
  <c r="W41" i="7"/>
  <c r="L41" i="7"/>
  <c r="X41" i="7"/>
  <c r="M41" i="7"/>
  <c r="Y41" i="7"/>
  <c r="N41" i="7"/>
  <c r="S41" i="7"/>
  <c r="C41" i="7"/>
  <c r="E41" i="7"/>
  <c r="F41" i="7"/>
  <c r="G41" i="7"/>
  <c r="R41" i="7"/>
  <c r="P41" i="7"/>
  <c r="AA41" i="7" s="1"/>
  <c r="D41" i="7"/>
  <c r="H42" i="7" l="1"/>
  <c r="J42" i="7" s="1"/>
  <c r="Z42" i="7"/>
  <c r="AB42" i="7" s="1"/>
  <c r="O42" i="7"/>
  <c r="Q42" i="7" s="1"/>
  <c r="T41" i="7"/>
  <c r="V41" i="7" s="1"/>
  <c r="T42" i="7"/>
  <c r="V42" i="7" s="1"/>
  <c r="Z41" i="7"/>
  <c r="AB41" i="7" s="1"/>
  <c r="O41" i="7"/>
  <c r="Q41" i="7" s="1"/>
  <c r="H41" i="7"/>
  <c r="J41" i="7" s="1"/>
</calcChain>
</file>

<file path=xl/sharedStrings.xml><?xml version="1.0" encoding="utf-8"?>
<sst xmlns="http://schemas.openxmlformats.org/spreadsheetml/2006/main" count="359" uniqueCount="52">
  <si>
    <t>日期</t>
    <phoneticPr fontId="1" type="noConversion"/>
  </si>
  <si>
    <t>表号</t>
    <phoneticPr fontId="1" type="noConversion"/>
  </si>
  <si>
    <t>表数</t>
    <phoneticPr fontId="1" type="noConversion"/>
  </si>
  <si>
    <t>单价（含税）</t>
    <phoneticPr fontId="1" type="noConversion"/>
  </si>
  <si>
    <t>祺电调整</t>
    <phoneticPr fontId="1" type="noConversion"/>
  </si>
  <si>
    <t>吉电调整</t>
    <phoneticPr fontId="1" type="noConversion"/>
  </si>
  <si>
    <t>4号表调整</t>
    <phoneticPr fontId="1" type="noConversion"/>
  </si>
  <si>
    <t>祺电调整</t>
  </si>
  <si>
    <t>吉电调整</t>
  </si>
  <si>
    <t>4号表调整</t>
  </si>
  <si>
    <t>祺水调整</t>
    <phoneticPr fontId="1" type="noConversion"/>
  </si>
  <si>
    <t>吉水调整</t>
    <phoneticPr fontId="1" type="noConversion"/>
  </si>
  <si>
    <t>祺水调整</t>
  </si>
  <si>
    <t>吉水调整</t>
  </si>
  <si>
    <t>倍率</t>
    <phoneticPr fontId="1" type="noConversion"/>
  </si>
  <si>
    <t>天津祺富机械加工有限公司</t>
    <phoneticPr fontId="1" type="noConversion"/>
  </si>
  <si>
    <t>物业明细（单价含税）</t>
    <phoneticPr fontId="1" type="noConversion"/>
  </si>
  <si>
    <t>上期日期</t>
    <phoneticPr fontId="1" type="noConversion"/>
  </si>
  <si>
    <t>本期日期</t>
    <phoneticPr fontId="1" type="noConversion"/>
  </si>
  <si>
    <t>核定日期</t>
    <phoneticPr fontId="1" type="noConversion"/>
  </si>
  <si>
    <t>电费</t>
    <phoneticPr fontId="1" type="noConversion"/>
  </si>
  <si>
    <t>上期表数</t>
    <phoneticPr fontId="1" type="noConversion"/>
  </si>
  <si>
    <t>本期表数</t>
    <phoneticPr fontId="1" type="noConversion"/>
  </si>
  <si>
    <t>本期用电</t>
    <phoneticPr fontId="1" type="noConversion"/>
  </si>
  <si>
    <t>核定度数</t>
    <phoneticPr fontId="1" type="noConversion"/>
  </si>
  <si>
    <t>单价</t>
    <phoneticPr fontId="1" type="noConversion"/>
  </si>
  <si>
    <t>总价</t>
    <phoneticPr fontId="1" type="noConversion"/>
  </si>
  <si>
    <t>合计</t>
    <phoneticPr fontId="1" type="noConversion"/>
  </si>
  <si>
    <t>水费</t>
    <phoneticPr fontId="1" type="noConversion"/>
  </si>
  <si>
    <t>本期用水</t>
    <phoneticPr fontId="1" type="noConversion"/>
  </si>
  <si>
    <t>核定m³</t>
    <phoneticPr fontId="1" type="noConversion"/>
  </si>
  <si>
    <t>祺富合计水电费</t>
    <phoneticPr fontId="1" type="noConversion"/>
  </si>
  <si>
    <t>项目</t>
    <phoneticPr fontId="1" type="noConversion"/>
  </si>
  <si>
    <t>金额</t>
    <phoneticPr fontId="1" type="noConversion"/>
  </si>
  <si>
    <t>税率</t>
    <phoneticPr fontId="1" type="noConversion"/>
  </si>
  <si>
    <t>税额</t>
    <phoneticPr fontId="1" type="noConversion"/>
  </si>
  <si>
    <t>数量</t>
    <phoneticPr fontId="1" type="noConversion"/>
  </si>
  <si>
    <t>水电费合计</t>
    <phoneticPr fontId="1" type="noConversion"/>
  </si>
  <si>
    <t>天津吉众科技有限公司</t>
    <phoneticPr fontId="1" type="noConversion"/>
  </si>
  <si>
    <t>表合计</t>
    <phoneticPr fontId="1" type="noConversion"/>
  </si>
  <si>
    <t>吉众合计水电费</t>
    <phoneticPr fontId="1" type="noConversion"/>
  </si>
  <si>
    <t>单位</t>
    <phoneticPr fontId="1" type="noConversion"/>
  </si>
  <si>
    <t>吉众</t>
    <phoneticPr fontId="1" type="noConversion"/>
  </si>
  <si>
    <t>祺富</t>
    <phoneticPr fontId="1" type="noConversion"/>
  </si>
  <si>
    <t>电表</t>
    <phoneticPr fontId="1" type="noConversion"/>
  </si>
  <si>
    <t>水表</t>
    <phoneticPr fontId="1" type="noConversion"/>
  </si>
  <si>
    <t>合计kwh</t>
    <phoneticPr fontId="1" type="noConversion"/>
  </si>
  <si>
    <t>合计电费</t>
    <phoneticPr fontId="1" type="noConversion"/>
  </si>
  <si>
    <t>合计吨</t>
    <phoneticPr fontId="1" type="noConversion"/>
  </si>
  <si>
    <t>合计水费</t>
    <phoneticPr fontId="1" type="noConversion"/>
  </si>
  <si>
    <t>使用月份</t>
    <phoneticPr fontId="1" type="noConversion"/>
  </si>
  <si>
    <t>记账月份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</si>
</sst>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\ &quot;号表&quot;"/>
    <numFmt numFmtId="177" formatCode="0_ "/>
    <numFmt numFmtId="178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2"/>
      <color theme="1"/>
      <name val="华文仿宋"/>
      <family val="3"/>
      <charset val="134"/>
    </font>
    <font>
      <sz val="2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76" fontId="2" fillId="0" borderId="4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vertical="center"/>
    </xf>
    <xf numFmtId="178" fontId="0" fillId="0" borderId="5" xfId="0" applyNumberFormat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7" xfId="0" applyNumberFormat="1" applyBorder="1" applyAlignment="1">
      <alignment vertical="center"/>
    </xf>
    <xf numFmtId="178" fontId="0" fillId="0" borderId="8" xfId="0" applyNumberFormat="1" applyBorder="1" applyAlignment="1">
      <alignment horizontal="center" vertical="center"/>
    </xf>
    <xf numFmtId="9" fontId="0" fillId="0" borderId="8" xfId="0" applyNumberFormat="1" applyBorder="1" applyAlignment="1">
      <alignment vertical="center"/>
    </xf>
    <xf numFmtId="178" fontId="0" fillId="0" borderId="8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76" fontId="0" fillId="2" borderId="1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57" fontId="0" fillId="0" borderId="0" xfId="0" applyNumberFormat="1" applyAlignment="1">
      <alignment shrinkToFit="1"/>
    </xf>
    <xf numFmtId="0" fontId="0" fillId="0" borderId="0" xfId="0" applyAlignment="1">
      <alignment shrinkToFit="1"/>
    </xf>
    <xf numFmtId="0" fontId="0" fillId="2" borderId="5" xfId="0" applyFill="1" applyBorder="1" applyAlignment="1">
      <alignment horizontal="center" vertical="center" shrinkToFit="1"/>
    </xf>
    <xf numFmtId="57" fontId="0" fillId="0" borderId="5" xfId="0" applyNumberFormat="1" applyBorder="1" applyAlignment="1">
      <alignment shrinkToFit="1"/>
    </xf>
    <xf numFmtId="57" fontId="0" fillId="0" borderId="5" xfId="0" applyNumberFormat="1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shrinkToFit="1"/>
    </xf>
    <xf numFmtId="0" fontId="2" fillId="0" borderId="0" xfId="0" applyFont="1" applyAlignment="1">
      <alignment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vertical="center" shrinkToFit="1"/>
    </xf>
    <xf numFmtId="1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176" fontId="0" fillId="2" borderId="5" xfId="0" applyNumberFormat="1" applyFill="1" applyBorder="1" applyAlignment="1">
      <alignment horizontal="center" vertical="center" shrinkToFit="1"/>
    </xf>
    <xf numFmtId="177" fontId="4" fillId="0" borderId="18" xfId="0" applyNumberFormat="1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176" fontId="0" fillId="2" borderId="5" xfId="0" applyNumberFormat="1" applyFill="1" applyBorder="1" applyAlignment="1">
      <alignment horizontal="center" vertical="center" shrinkToFit="1"/>
    </xf>
    <xf numFmtId="176" fontId="2" fillId="2" borderId="5" xfId="0" applyNumberFormat="1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36"/>
  <sheetViews>
    <sheetView topLeftCell="A315" workbookViewId="0">
      <selection activeCell="C334" sqref="C334"/>
    </sheetView>
  </sheetViews>
  <sheetFormatPr defaultRowHeight="14.25" x14ac:dyDescent="0.2"/>
  <cols>
    <col min="1" max="1" width="11.625" style="1" bestFit="1" customWidth="1"/>
    <col min="4" max="4" width="14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43723</v>
      </c>
      <c r="B2">
        <v>1</v>
      </c>
      <c r="C2">
        <v>0</v>
      </c>
      <c r="D2">
        <v>1.3</v>
      </c>
    </row>
    <row r="3" spans="1:4" x14ac:dyDescent="0.2">
      <c r="A3" s="1">
        <v>43723</v>
      </c>
      <c r="B3">
        <v>2</v>
      </c>
      <c r="C3">
        <v>0</v>
      </c>
      <c r="D3">
        <v>1.3</v>
      </c>
    </row>
    <row r="4" spans="1:4" x14ac:dyDescent="0.2">
      <c r="A4" s="1">
        <v>43723</v>
      </c>
      <c r="B4">
        <v>3</v>
      </c>
      <c r="C4">
        <v>0</v>
      </c>
      <c r="D4">
        <v>1.3</v>
      </c>
    </row>
    <row r="5" spans="1:4" x14ac:dyDescent="0.2">
      <c r="A5" s="1">
        <v>44118</v>
      </c>
      <c r="B5">
        <v>1</v>
      </c>
      <c r="C5">
        <v>42</v>
      </c>
      <c r="D5">
        <v>1.3</v>
      </c>
    </row>
    <row r="6" spans="1:4" x14ac:dyDescent="0.2">
      <c r="A6" s="1">
        <v>44118</v>
      </c>
      <c r="B6">
        <v>2</v>
      </c>
      <c r="C6">
        <v>64</v>
      </c>
      <c r="D6">
        <v>1.3</v>
      </c>
    </row>
    <row r="7" spans="1:4" x14ac:dyDescent="0.2">
      <c r="A7" s="1">
        <v>44118</v>
      </c>
      <c r="B7">
        <v>3</v>
      </c>
      <c r="C7">
        <v>0</v>
      </c>
      <c r="D7">
        <v>1.3</v>
      </c>
    </row>
    <row r="8" spans="1:4" x14ac:dyDescent="0.2">
      <c r="A8" s="1">
        <v>44294</v>
      </c>
      <c r="B8">
        <v>1</v>
      </c>
      <c r="C8">
        <v>149</v>
      </c>
      <c r="D8">
        <v>1.3</v>
      </c>
    </row>
    <row r="9" spans="1:4" x14ac:dyDescent="0.2">
      <c r="A9" s="1">
        <v>44294</v>
      </c>
      <c r="B9">
        <v>2</v>
      </c>
      <c r="C9">
        <v>167</v>
      </c>
      <c r="D9">
        <v>1.3</v>
      </c>
    </row>
    <row r="10" spans="1:4" x14ac:dyDescent="0.2">
      <c r="A10" s="1">
        <v>44294</v>
      </c>
      <c r="B10">
        <v>3</v>
      </c>
      <c r="C10">
        <v>0</v>
      </c>
      <c r="D10">
        <v>1.3</v>
      </c>
    </row>
    <row r="11" spans="1:4" x14ac:dyDescent="0.2">
      <c r="A11" s="1">
        <v>44435</v>
      </c>
      <c r="B11">
        <v>1</v>
      </c>
      <c r="C11">
        <v>263</v>
      </c>
      <c r="D11">
        <v>1.3</v>
      </c>
    </row>
    <row r="12" spans="1:4" x14ac:dyDescent="0.2">
      <c r="A12" s="1">
        <v>44435</v>
      </c>
      <c r="B12">
        <v>2</v>
      </c>
      <c r="C12">
        <v>393</v>
      </c>
      <c r="D12">
        <v>1.3</v>
      </c>
    </row>
    <row r="13" spans="1:4" x14ac:dyDescent="0.2">
      <c r="A13" s="1">
        <v>44435</v>
      </c>
      <c r="B13">
        <v>3</v>
      </c>
      <c r="C13">
        <v>82</v>
      </c>
      <c r="D13">
        <v>1.3</v>
      </c>
    </row>
    <row r="14" spans="1:4" x14ac:dyDescent="0.2">
      <c r="A14" s="1">
        <v>44479</v>
      </c>
      <c r="B14">
        <v>3</v>
      </c>
      <c r="C14">
        <v>237</v>
      </c>
      <c r="D14">
        <v>1.23</v>
      </c>
    </row>
    <row r="15" spans="1:4" x14ac:dyDescent="0.2">
      <c r="A15" s="1">
        <v>44479</v>
      </c>
      <c r="B15">
        <v>1</v>
      </c>
      <c r="C15">
        <v>284</v>
      </c>
      <c r="D15">
        <v>1.23</v>
      </c>
    </row>
    <row r="16" spans="1:4" x14ac:dyDescent="0.2">
      <c r="A16" s="1">
        <v>44479</v>
      </c>
      <c r="B16">
        <v>2</v>
      </c>
      <c r="C16">
        <v>438</v>
      </c>
      <c r="D16">
        <v>1.23</v>
      </c>
    </row>
    <row r="17" spans="1:4" x14ac:dyDescent="0.2">
      <c r="A17" s="1">
        <v>44510</v>
      </c>
      <c r="B17">
        <v>3</v>
      </c>
      <c r="C17">
        <v>339</v>
      </c>
      <c r="D17">
        <v>1.25</v>
      </c>
    </row>
    <row r="18" spans="1:4" x14ac:dyDescent="0.2">
      <c r="A18" s="1">
        <v>44510</v>
      </c>
      <c r="B18">
        <v>1</v>
      </c>
      <c r="C18">
        <v>320</v>
      </c>
      <c r="D18">
        <v>1.25</v>
      </c>
    </row>
    <row r="19" spans="1:4" x14ac:dyDescent="0.2">
      <c r="A19" s="1">
        <v>44510</v>
      </c>
      <c r="B19">
        <v>2</v>
      </c>
      <c r="C19">
        <v>471</v>
      </c>
      <c r="D19">
        <v>1.25</v>
      </c>
    </row>
    <row r="20" spans="1:4" x14ac:dyDescent="0.2">
      <c r="A20" s="1">
        <v>44540</v>
      </c>
      <c r="B20">
        <v>3</v>
      </c>
      <c r="C20">
        <v>474</v>
      </c>
      <c r="D20">
        <v>0.95</v>
      </c>
    </row>
    <row r="21" spans="1:4" x14ac:dyDescent="0.2">
      <c r="A21" s="1">
        <v>44540</v>
      </c>
      <c r="B21">
        <v>1</v>
      </c>
      <c r="C21">
        <v>342</v>
      </c>
      <c r="D21">
        <v>0.95</v>
      </c>
    </row>
    <row r="22" spans="1:4" x14ac:dyDescent="0.2">
      <c r="A22" s="1">
        <v>44540</v>
      </c>
      <c r="B22">
        <v>2</v>
      </c>
      <c r="C22">
        <v>522</v>
      </c>
      <c r="D22">
        <v>0.95</v>
      </c>
    </row>
    <row r="23" spans="1:4" x14ac:dyDescent="0.2">
      <c r="A23" s="1">
        <v>44566</v>
      </c>
      <c r="B23">
        <v>3</v>
      </c>
      <c r="C23">
        <v>696</v>
      </c>
      <c r="D23">
        <v>0.95</v>
      </c>
    </row>
    <row r="24" spans="1:4" x14ac:dyDescent="0.2">
      <c r="A24" s="1">
        <v>44566</v>
      </c>
      <c r="B24">
        <v>1</v>
      </c>
      <c r="C24">
        <v>378</v>
      </c>
      <c r="D24">
        <v>0.95</v>
      </c>
    </row>
    <row r="25" spans="1:4" x14ac:dyDescent="0.2">
      <c r="A25" s="1">
        <v>44566</v>
      </c>
      <c r="B25">
        <v>2</v>
      </c>
      <c r="C25">
        <v>646</v>
      </c>
      <c r="D25">
        <v>0.95</v>
      </c>
    </row>
    <row r="26" spans="1:4" x14ac:dyDescent="0.2">
      <c r="A26" s="1">
        <v>44599</v>
      </c>
      <c r="B26">
        <v>3</v>
      </c>
      <c r="C26">
        <v>975</v>
      </c>
      <c r="D26">
        <v>1.0900000000000001</v>
      </c>
    </row>
    <row r="27" spans="1:4" x14ac:dyDescent="0.2">
      <c r="A27" s="1">
        <v>44599</v>
      </c>
      <c r="B27">
        <v>1</v>
      </c>
      <c r="C27">
        <v>427</v>
      </c>
      <c r="D27">
        <v>1.0900000000000001</v>
      </c>
    </row>
    <row r="28" spans="1:4" x14ac:dyDescent="0.2">
      <c r="A28" s="1">
        <v>44599</v>
      </c>
      <c r="B28">
        <v>2</v>
      </c>
      <c r="C28">
        <v>735</v>
      </c>
      <c r="D28">
        <v>1.0900000000000001</v>
      </c>
    </row>
    <row r="29" spans="1:4" x14ac:dyDescent="0.2">
      <c r="A29" s="1">
        <v>44621</v>
      </c>
      <c r="B29">
        <v>3</v>
      </c>
      <c r="C29">
        <v>1163</v>
      </c>
      <c r="D29">
        <v>1.1399999999999999</v>
      </c>
    </row>
    <row r="30" spans="1:4" x14ac:dyDescent="0.2">
      <c r="A30" s="1">
        <v>44621</v>
      </c>
      <c r="B30">
        <v>1</v>
      </c>
      <c r="C30">
        <v>459</v>
      </c>
      <c r="D30">
        <v>1.1399999999999999</v>
      </c>
    </row>
    <row r="31" spans="1:4" x14ac:dyDescent="0.2">
      <c r="A31" s="1">
        <v>44621</v>
      </c>
      <c r="B31">
        <v>2</v>
      </c>
      <c r="C31">
        <v>815</v>
      </c>
      <c r="D31">
        <v>1.1399999999999999</v>
      </c>
    </row>
    <row r="32" spans="1:4" x14ac:dyDescent="0.2">
      <c r="A32" s="1">
        <v>44652</v>
      </c>
      <c r="B32">
        <v>3</v>
      </c>
      <c r="C32">
        <v>1302</v>
      </c>
      <c r="D32">
        <v>1.1499999999999999</v>
      </c>
    </row>
    <row r="33" spans="1:4" x14ac:dyDescent="0.2">
      <c r="A33" s="1">
        <v>44652</v>
      </c>
      <c r="B33">
        <v>1</v>
      </c>
      <c r="C33">
        <v>491</v>
      </c>
      <c r="D33">
        <v>1.1499999999999999</v>
      </c>
    </row>
    <row r="34" spans="1:4" x14ac:dyDescent="0.2">
      <c r="A34" s="1">
        <v>44652</v>
      </c>
      <c r="B34">
        <v>2</v>
      </c>
      <c r="C34">
        <v>914</v>
      </c>
      <c r="D34">
        <v>1.1499999999999999</v>
      </c>
    </row>
    <row r="35" spans="1:4" x14ac:dyDescent="0.2">
      <c r="A35" s="1">
        <v>44682</v>
      </c>
      <c r="B35">
        <v>3</v>
      </c>
      <c r="C35">
        <v>1348</v>
      </c>
      <c r="D35">
        <v>1.55</v>
      </c>
    </row>
    <row r="36" spans="1:4" x14ac:dyDescent="0.2">
      <c r="A36" s="1">
        <v>44682</v>
      </c>
      <c r="B36">
        <v>1</v>
      </c>
      <c r="C36">
        <v>498</v>
      </c>
      <c r="D36">
        <v>1.55</v>
      </c>
    </row>
    <row r="37" spans="1:4" x14ac:dyDescent="0.2">
      <c r="A37" s="1">
        <v>44682</v>
      </c>
      <c r="B37">
        <v>2</v>
      </c>
      <c r="C37">
        <v>940</v>
      </c>
      <c r="D37">
        <v>1.55</v>
      </c>
    </row>
    <row r="38" spans="1:4" x14ac:dyDescent="0.2">
      <c r="A38" s="1">
        <v>44713</v>
      </c>
      <c r="B38">
        <v>1</v>
      </c>
      <c r="C38">
        <v>518</v>
      </c>
      <c r="D38">
        <v>0.99719000000000002</v>
      </c>
    </row>
    <row r="39" spans="1:4" x14ac:dyDescent="0.2">
      <c r="A39" s="1">
        <v>44713</v>
      </c>
      <c r="B39">
        <v>2</v>
      </c>
      <c r="C39">
        <v>1002</v>
      </c>
      <c r="D39">
        <v>0.99719000000000002</v>
      </c>
    </row>
    <row r="40" spans="1:4" x14ac:dyDescent="0.2">
      <c r="A40" s="1">
        <v>44713</v>
      </c>
      <c r="B40">
        <v>3</v>
      </c>
      <c r="C40">
        <v>1531</v>
      </c>
      <c r="D40">
        <v>0.99719000000000002</v>
      </c>
    </row>
    <row r="41" spans="1:4" x14ac:dyDescent="0.2">
      <c r="A41" s="1">
        <v>44743</v>
      </c>
      <c r="B41">
        <v>1</v>
      </c>
      <c r="C41">
        <v>547</v>
      </c>
      <c r="D41">
        <v>0.99719000000000002</v>
      </c>
    </row>
    <row r="42" spans="1:4" x14ac:dyDescent="0.2">
      <c r="A42" s="1">
        <v>44743</v>
      </c>
      <c r="B42">
        <v>2</v>
      </c>
      <c r="C42">
        <v>1077</v>
      </c>
      <c r="D42">
        <v>0.99719000000000002</v>
      </c>
    </row>
    <row r="43" spans="1:4" x14ac:dyDescent="0.2">
      <c r="A43" s="1">
        <v>44743</v>
      </c>
      <c r="B43">
        <v>3</v>
      </c>
      <c r="C43">
        <v>1701</v>
      </c>
      <c r="D43">
        <v>0.99719000000000002</v>
      </c>
    </row>
    <row r="44" spans="1:4" x14ac:dyDescent="0.2">
      <c r="A44" s="1">
        <v>44774</v>
      </c>
      <c r="B44">
        <v>1</v>
      </c>
      <c r="C44">
        <v>577</v>
      </c>
      <c r="D44">
        <v>0.95781862600000001</v>
      </c>
    </row>
    <row r="45" spans="1:4" x14ac:dyDescent="0.2">
      <c r="A45" s="1">
        <v>44774</v>
      </c>
      <c r="B45">
        <v>2</v>
      </c>
      <c r="C45">
        <v>1152</v>
      </c>
      <c r="D45">
        <v>0.95781862600000001</v>
      </c>
    </row>
    <row r="46" spans="1:4" x14ac:dyDescent="0.2">
      <c r="A46" s="1">
        <v>44774</v>
      </c>
      <c r="B46">
        <v>3</v>
      </c>
      <c r="C46">
        <v>1938</v>
      </c>
      <c r="D46">
        <v>0.95781862600000001</v>
      </c>
    </row>
    <row r="47" spans="1:4" x14ac:dyDescent="0.2">
      <c r="A47" s="1">
        <v>44805</v>
      </c>
      <c r="B47">
        <v>1</v>
      </c>
      <c r="C47">
        <v>612</v>
      </c>
      <c r="D47">
        <v>0.97694649099999997</v>
      </c>
    </row>
    <row r="48" spans="1:4" x14ac:dyDescent="0.2">
      <c r="A48" s="1">
        <v>44805</v>
      </c>
      <c r="B48">
        <v>2</v>
      </c>
      <c r="C48">
        <v>1214</v>
      </c>
      <c r="D48">
        <v>0.97694649099999997</v>
      </c>
    </row>
    <row r="49" spans="1:4" x14ac:dyDescent="0.2">
      <c r="A49" s="1">
        <v>44805</v>
      </c>
      <c r="B49">
        <v>3</v>
      </c>
      <c r="C49">
        <v>2196</v>
      </c>
      <c r="D49">
        <v>0.97694649099999997</v>
      </c>
    </row>
    <row r="50" spans="1:4" x14ac:dyDescent="0.2">
      <c r="A50" s="1">
        <v>44835</v>
      </c>
      <c r="B50">
        <v>1</v>
      </c>
      <c r="C50">
        <v>633</v>
      </c>
      <c r="D50">
        <v>0.95434111899999996</v>
      </c>
    </row>
    <row r="51" spans="1:4" x14ac:dyDescent="0.2">
      <c r="A51" s="1">
        <v>44835</v>
      </c>
      <c r="B51">
        <v>2</v>
      </c>
      <c r="C51">
        <v>1253</v>
      </c>
      <c r="D51">
        <v>0.95434111899999996</v>
      </c>
    </row>
    <row r="52" spans="1:4" x14ac:dyDescent="0.2">
      <c r="A52" s="1">
        <v>44835</v>
      </c>
      <c r="B52">
        <v>3</v>
      </c>
      <c r="C52">
        <v>2537</v>
      </c>
      <c r="D52">
        <v>0.95434111899999996</v>
      </c>
    </row>
    <row r="53" spans="1:4" x14ac:dyDescent="0.2">
      <c r="A53" s="1">
        <v>44866</v>
      </c>
      <c r="B53">
        <v>3</v>
      </c>
      <c r="C53">
        <v>2717</v>
      </c>
      <c r="D53">
        <v>0.94875650499999997</v>
      </c>
    </row>
    <row r="54" spans="1:4" x14ac:dyDescent="0.2">
      <c r="A54" s="1">
        <v>44866</v>
      </c>
      <c r="B54">
        <v>1</v>
      </c>
      <c r="C54">
        <v>648</v>
      </c>
      <c r="D54">
        <v>0.94875650499999997</v>
      </c>
    </row>
    <row r="55" spans="1:4" x14ac:dyDescent="0.2">
      <c r="A55" s="1">
        <v>44866</v>
      </c>
      <c r="B55">
        <v>2</v>
      </c>
      <c r="C55">
        <v>1298</v>
      </c>
      <c r="D55">
        <v>0.94875650499999997</v>
      </c>
    </row>
    <row r="56" spans="1:4" x14ac:dyDescent="0.2">
      <c r="A56" s="1">
        <v>44896</v>
      </c>
      <c r="B56">
        <v>1</v>
      </c>
      <c r="C56">
        <v>677</v>
      </c>
      <c r="D56">
        <v>0.92500553699999999</v>
      </c>
    </row>
    <row r="57" spans="1:4" x14ac:dyDescent="0.2">
      <c r="A57" s="1">
        <v>44896</v>
      </c>
      <c r="B57">
        <v>2</v>
      </c>
      <c r="C57">
        <v>1400</v>
      </c>
      <c r="D57">
        <v>0.92500553699999999</v>
      </c>
    </row>
    <row r="58" spans="1:4" x14ac:dyDescent="0.2">
      <c r="A58" s="1">
        <v>44896</v>
      </c>
      <c r="B58">
        <v>3</v>
      </c>
      <c r="C58">
        <v>2868</v>
      </c>
      <c r="D58">
        <v>0.92500553699999999</v>
      </c>
    </row>
    <row r="59" spans="1:4" x14ac:dyDescent="0.2">
      <c r="A59" s="1">
        <v>44927</v>
      </c>
      <c r="B59">
        <v>3</v>
      </c>
      <c r="C59">
        <v>3288</v>
      </c>
      <c r="D59">
        <v>0.95514658500000005</v>
      </c>
    </row>
    <row r="60" spans="1:4" x14ac:dyDescent="0.2">
      <c r="A60" s="1">
        <v>44927</v>
      </c>
      <c r="B60">
        <v>1</v>
      </c>
      <c r="C60">
        <v>729</v>
      </c>
      <c r="D60">
        <v>0.95514658500000005</v>
      </c>
    </row>
    <row r="61" spans="1:4" x14ac:dyDescent="0.2">
      <c r="A61" s="1">
        <v>44927</v>
      </c>
      <c r="B61">
        <v>2</v>
      </c>
      <c r="C61">
        <v>1508</v>
      </c>
      <c r="D61">
        <v>0.95514658500000005</v>
      </c>
    </row>
    <row r="62" spans="1:4" x14ac:dyDescent="0.2">
      <c r="A62" s="1">
        <v>44958</v>
      </c>
      <c r="B62">
        <v>3</v>
      </c>
      <c r="C62">
        <v>3534</v>
      </c>
      <c r="D62">
        <f>106361.85/103095</f>
        <v>1.0316877637130801</v>
      </c>
    </row>
    <row r="63" spans="1:4" x14ac:dyDescent="0.2">
      <c r="A63" s="1">
        <v>44958</v>
      </c>
      <c r="B63">
        <v>1</v>
      </c>
      <c r="C63">
        <v>773</v>
      </c>
      <c r="D63">
        <f>106361.85/103095</f>
        <v>1.0316877637130801</v>
      </c>
    </row>
    <row r="64" spans="1:4" x14ac:dyDescent="0.2">
      <c r="A64" s="1">
        <v>44958</v>
      </c>
      <c r="B64">
        <v>2</v>
      </c>
      <c r="C64">
        <v>1604</v>
      </c>
      <c r="D64">
        <f>106361.85/103095</f>
        <v>1.0316877637130801</v>
      </c>
    </row>
    <row r="65" spans="1:4" x14ac:dyDescent="0.2">
      <c r="A65" s="1">
        <v>44958</v>
      </c>
      <c r="B65" t="s">
        <v>4</v>
      </c>
      <c r="C65">
        <v>8400</v>
      </c>
      <c r="D65">
        <f t="shared" ref="D65:D66" si="0">106361.85/103095</f>
        <v>1.0316877637130801</v>
      </c>
    </row>
    <row r="66" spans="1:4" x14ac:dyDescent="0.2">
      <c r="A66" s="1">
        <v>44958</v>
      </c>
      <c r="B66" t="s">
        <v>5</v>
      </c>
      <c r="C66">
        <v>-8400</v>
      </c>
      <c r="D66">
        <f t="shared" si="0"/>
        <v>1.0316877637130801</v>
      </c>
    </row>
    <row r="67" spans="1:4" x14ac:dyDescent="0.2">
      <c r="A67" s="1">
        <v>44986</v>
      </c>
      <c r="B67">
        <v>2</v>
      </c>
      <c r="C67">
        <v>1680</v>
      </c>
      <c r="D67">
        <v>0.988731256</v>
      </c>
    </row>
    <row r="68" spans="1:4" x14ac:dyDescent="0.2">
      <c r="A68" s="1">
        <v>44986</v>
      </c>
      <c r="B68">
        <v>1</v>
      </c>
      <c r="C68">
        <v>803</v>
      </c>
      <c r="D68">
        <v>0.988731256</v>
      </c>
    </row>
    <row r="69" spans="1:4" x14ac:dyDescent="0.2">
      <c r="A69" s="1">
        <v>44986</v>
      </c>
      <c r="B69">
        <v>3</v>
      </c>
      <c r="C69">
        <v>3766</v>
      </c>
      <c r="D69">
        <v>0.988731256</v>
      </c>
    </row>
    <row r="70" spans="1:4" x14ac:dyDescent="0.2">
      <c r="A70" s="1">
        <v>44986</v>
      </c>
      <c r="B70" t="s">
        <v>4</v>
      </c>
      <c r="C70">
        <v>13457</v>
      </c>
      <c r="D70">
        <v>0.988731256</v>
      </c>
    </row>
    <row r="71" spans="1:4" x14ac:dyDescent="0.2">
      <c r="A71" s="1">
        <v>44986</v>
      </c>
      <c r="B71" t="s">
        <v>5</v>
      </c>
      <c r="C71">
        <f>+-1*C70</f>
        <v>-13457</v>
      </c>
      <c r="D71">
        <v>0.988731256</v>
      </c>
    </row>
    <row r="72" spans="1:4" x14ac:dyDescent="0.2">
      <c r="A72" s="1">
        <v>45017</v>
      </c>
      <c r="B72">
        <v>2</v>
      </c>
      <c r="C72">
        <v>1750</v>
      </c>
      <c r="D72">
        <v>0.98761738613693284</v>
      </c>
    </row>
    <row r="73" spans="1:4" x14ac:dyDescent="0.2">
      <c r="A73" s="1">
        <v>45017</v>
      </c>
      <c r="B73">
        <v>1</v>
      </c>
      <c r="C73">
        <v>827</v>
      </c>
      <c r="D73">
        <v>0.98761738613693284</v>
      </c>
    </row>
    <row r="74" spans="1:4" x14ac:dyDescent="0.2">
      <c r="A74" s="1">
        <v>45017</v>
      </c>
      <c r="B74">
        <v>3</v>
      </c>
      <c r="C74">
        <v>3953</v>
      </c>
      <c r="D74">
        <v>0.98761738613693284</v>
      </c>
    </row>
    <row r="75" spans="1:4" x14ac:dyDescent="0.2">
      <c r="A75" s="1">
        <v>45017</v>
      </c>
      <c r="B75" t="s">
        <v>4</v>
      </c>
      <c r="C75">
        <f>13457+5640</f>
        <v>19097</v>
      </c>
      <c r="D75">
        <v>0.98761738613693284</v>
      </c>
    </row>
    <row r="76" spans="1:4" x14ac:dyDescent="0.2">
      <c r="A76" s="1">
        <v>45017</v>
      </c>
      <c r="B76" t="s">
        <v>5</v>
      </c>
      <c r="C76">
        <f>+-1*C75</f>
        <v>-19097</v>
      </c>
      <c r="D76">
        <v>0.98761738613693284</v>
      </c>
    </row>
    <row r="77" spans="1:4" x14ac:dyDescent="0.2">
      <c r="A77" s="1">
        <v>45047</v>
      </c>
      <c r="B77">
        <v>2</v>
      </c>
      <c r="C77">
        <v>1820</v>
      </c>
      <c r="D77">
        <f>99701.71/95040</f>
        <v>1.0490499789562291</v>
      </c>
    </row>
    <row r="78" spans="1:4" x14ac:dyDescent="0.2">
      <c r="A78" s="1">
        <v>45047</v>
      </c>
      <c r="B78">
        <v>1</v>
      </c>
      <c r="C78">
        <v>847</v>
      </c>
      <c r="D78">
        <f t="shared" ref="D78:D81" si="1">99701.71/95040</f>
        <v>1.0490499789562291</v>
      </c>
    </row>
    <row r="79" spans="1:4" x14ac:dyDescent="0.2">
      <c r="A79" s="1">
        <v>45047</v>
      </c>
      <c r="B79">
        <v>3</v>
      </c>
      <c r="C79">
        <v>4158</v>
      </c>
      <c r="D79">
        <f t="shared" si="1"/>
        <v>1.0490499789562291</v>
      </c>
    </row>
    <row r="80" spans="1:4" x14ac:dyDescent="0.2">
      <c r="A80" s="1">
        <v>45047</v>
      </c>
      <c r="B80" t="s">
        <v>4</v>
      </c>
      <c r="C80">
        <f>13457+5640+3995</f>
        <v>23092</v>
      </c>
      <c r="D80">
        <f t="shared" si="1"/>
        <v>1.0490499789562291</v>
      </c>
    </row>
    <row r="81" spans="1:4" x14ac:dyDescent="0.2">
      <c r="A81" s="1">
        <v>45047</v>
      </c>
      <c r="B81" t="s">
        <v>5</v>
      </c>
      <c r="C81">
        <f>+-1*C80</f>
        <v>-23092</v>
      </c>
      <c r="D81">
        <f t="shared" si="1"/>
        <v>1.0490499789562291</v>
      </c>
    </row>
    <row r="82" spans="1:4" x14ac:dyDescent="0.2">
      <c r="A82" s="1">
        <v>45078</v>
      </c>
      <c r="B82">
        <v>2</v>
      </c>
      <c r="C82">
        <v>1916</v>
      </c>
      <c r="D82">
        <f>108245.88/108645</f>
        <v>0.9963263840949883</v>
      </c>
    </row>
    <row r="83" spans="1:4" x14ac:dyDescent="0.2">
      <c r="A83" s="1">
        <v>45078</v>
      </c>
      <c r="B83">
        <v>1</v>
      </c>
      <c r="C83">
        <v>871</v>
      </c>
      <c r="D83">
        <f t="shared" ref="D83:D86" si="2">108245.88/108645</f>
        <v>0.9963263840949883</v>
      </c>
    </row>
    <row r="84" spans="1:4" x14ac:dyDescent="0.2">
      <c r="A84" s="1">
        <v>45078</v>
      </c>
      <c r="B84">
        <v>3</v>
      </c>
      <c r="C84">
        <v>4372</v>
      </c>
      <c r="D84">
        <f t="shared" si="2"/>
        <v>0.9963263840949883</v>
      </c>
    </row>
    <row r="85" spans="1:4" x14ac:dyDescent="0.2">
      <c r="A85" s="1">
        <v>45078</v>
      </c>
      <c r="B85" t="s">
        <v>4</v>
      </c>
      <c r="C85">
        <f>13457+5640+3995+7000</f>
        <v>30092</v>
      </c>
      <c r="D85">
        <f t="shared" si="2"/>
        <v>0.9963263840949883</v>
      </c>
    </row>
    <row r="86" spans="1:4" x14ac:dyDescent="0.2">
      <c r="A86" s="1">
        <v>45078</v>
      </c>
      <c r="B86" t="s">
        <v>5</v>
      </c>
      <c r="C86">
        <f>+-1*C85</f>
        <v>-30092</v>
      </c>
      <c r="D86">
        <f t="shared" si="2"/>
        <v>0.9963263840949883</v>
      </c>
    </row>
    <row r="87" spans="1:4" x14ac:dyDescent="0.2">
      <c r="A87" s="1">
        <v>45108</v>
      </c>
      <c r="B87" t="s">
        <v>4</v>
      </c>
      <c r="C87">
        <f>13457+5640+3995+7000+4952.92</f>
        <v>35044.92</v>
      </c>
      <c r="D87">
        <f t="shared" ref="D87:D88" si="3">132709.59/131460</f>
        <v>1.0095054769511638</v>
      </c>
    </row>
    <row r="88" spans="1:4" x14ac:dyDescent="0.2">
      <c r="A88" s="1">
        <v>45108</v>
      </c>
      <c r="B88" t="s">
        <v>5</v>
      </c>
      <c r="C88">
        <f>+-1*C87</f>
        <v>-35044.92</v>
      </c>
      <c r="D88">
        <f t="shared" si="3"/>
        <v>1.0095054769511638</v>
      </c>
    </row>
    <row r="89" spans="1:4" x14ac:dyDescent="0.2">
      <c r="A89" s="1">
        <v>45108</v>
      </c>
      <c r="B89">
        <v>2</v>
      </c>
      <c r="C89">
        <v>1985</v>
      </c>
      <c r="D89">
        <f>132709.59/131460</f>
        <v>1.0095054769511638</v>
      </c>
    </row>
    <row r="90" spans="1:4" x14ac:dyDescent="0.2">
      <c r="A90" s="1">
        <v>45108</v>
      </c>
      <c r="B90">
        <v>1</v>
      </c>
      <c r="C90">
        <v>890</v>
      </c>
      <c r="D90">
        <f>132709.59/131460</f>
        <v>1.0095054769511638</v>
      </c>
    </row>
    <row r="91" spans="1:4" x14ac:dyDescent="0.2">
      <c r="A91" s="1">
        <v>45108</v>
      </c>
      <c r="B91">
        <v>3</v>
      </c>
      <c r="C91">
        <v>4600</v>
      </c>
      <c r="D91">
        <f>132709.59/131460</f>
        <v>1.0095054769511638</v>
      </c>
    </row>
    <row r="92" spans="1:4" x14ac:dyDescent="0.2">
      <c r="A92" s="1">
        <v>45139</v>
      </c>
      <c r="B92">
        <v>2</v>
      </c>
      <c r="C92">
        <v>2069</v>
      </c>
      <c r="D92">
        <f>170635.55/173865</f>
        <v>0.98142553130302235</v>
      </c>
    </row>
    <row r="93" spans="1:4" x14ac:dyDescent="0.2">
      <c r="A93" s="1">
        <v>45139</v>
      </c>
      <c r="B93">
        <v>1</v>
      </c>
      <c r="C93">
        <v>914</v>
      </c>
      <c r="D93">
        <f t="shared" ref="D93:D96" si="4">170635.55/173865</f>
        <v>0.98142553130302235</v>
      </c>
    </row>
    <row r="94" spans="1:4" x14ac:dyDescent="0.2">
      <c r="A94" s="1">
        <v>45139</v>
      </c>
      <c r="B94">
        <v>3</v>
      </c>
      <c r="C94">
        <v>4826</v>
      </c>
      <c r="D94">
        <f t="shared" si="4"/>
        <v>0.98142553130302235</v>
      </c>
    </row>
    <row r="95" spans="1:4" x14ac:dyDescent="0.2">
      <c r="A95" s="1">
        <v>45139</v>
      </c>
      <c r="B95" t="s">
        <v>4</v>
      </c>
      <c r="C95">
        <f>13457+5640+3995+7000+4952.92+5095</f>
        <v>40139.919999999998</v>
      </c>
      <c r="D95">
        <f t="shared" si="4"/>
        <v>0.98142553130302235</v>
      </c>
    </row>
    <row r="96" spans="1:4" x14ac:dyDescent="0.2">
      <c r="A96" s="1">
        <v>45139</v>
      </c>
      <c r="B96" t="s">
        <v>5</v>
      </c>
      <c r="C96">
        <f>+-1*C95</f>
        <v>-40139.919999999998</v>
      </c>
      <c r="D96">
        <f t="shared" si="4"/>
        <v>0.98142553130302235</v>
      </c>
    </row>
    <row r="97" spans="1:4" x14ac:dyDescent="0.2">
      <c r="A97" s="1">
        <v>45170</v>
      </c>
      <c r="B97">
        <v>2</v>
      </c>
      <c r="C97">
        <v>2185</v>
      </c>
      <c r="D97">
        <v>0.97270000000000001</v>
      </c>
    </row>
    <row r="98" spans="1:4" x14ac:dyDescent="0.2">
      <c r="A98" s="1">
        <v>45170</v>
      </c>
      <c r="B98">
        <v>1</v>
      </c>
      <c r="C98">
        <v>944</v>
      </c>
      <c r="D98">
        <v>0.97270000000000001</v>
      </c>
    </row>
    <row r="99" spans="1:4" x14ac:dyDescent="0.2">
      <c r="A99" s="1">
        <v>45170</v>
      </c>
      <c r="B99">
        <v>3</v>
      </c>
      <c r="C99">
        <v>5045</v>
      </c>
      <c r="D99">
        <v>0.97270000000000001</v>
      </c>
    </row>
    <row r="100" spans="1:4" x14ac:dyDescent="0.2">
      <c r="A100" s="1">
        <v>45170</v>
      </c>
      <c r="B100" t="s">
        <v>4</v>
      </c>
      <c r="C100">
        <f>13457+5640+3995+7000+4952.92+5095+8739</f>
        <v>48878.92</v>
      </c>
      <c r="D100">
        <v>0.97270000000000001</v>
      </c>
    </row>
    <row r="101" spans="1:4" x14ac:dyDescent="0.2">
      <c r="A101" s="1">
        <v>45170</v>
      </c>
      <c r="B101" t="s">
        <v>5</v>
      </c>
      <c r="C101">
        <f>+-1*C100</f>
        <v>-48878.92</v>
      </c>
      <c r="D101">
        <v>0.97270000000000001</v>
      </c>
    </row>
    <row r="102" spans="1:4" x14ac:dyDescent="0.2">
      <c r="A102" s="1">
        <v>45200</v>
      </c>
      <c r="B102" t="s">
        <v>4</v>
      </c>
      <c r="C102">
        <f>13457+5640+3995+7000+4952.92+5095+8739+8500</f>
        <v>57378.92</v>
      </c>
      <c r="D102">
        <v>1.0023</v>
      </c>
    </row>
    <row r="103" spans="1:4" x14ac:dyDescent="0.2">
      <c r="A103" s="1">
        <v>45200</v>
      </c>
      <c r="B103" t="s">
        <v>5</v>
      </c>
      <c r="C103">
        <f>+-1*C102</f>
        <v>-57378.92</v>
      </c>
      <c r="D103">
        <v>1.0023</v>
      </c>
    </row>
    <row r="104" spans="1:4" x14ac:dyDescent="0.2">
      <c r="A104" s="1">
        <v>45200</v>
      </c>
      <c r="B104">
        <v>2</v>
      </c>
      <c r="C104">
        <v>2296</v>
      </c>
      <c r="D104">
        <v>1.0023</v>
      </c>
    </row>
    <row r="105" spans="1:4" x14ac:dyDescent="0.2">
      <c r="A105" s="1">
        <v>45200</v>
      </c>
      <c r="B105">
        <v>1</v>
      </c>
      <c r="C105">
        <v>973</v>
      </c>
      <c r="D105">
        <v>1.0023</v>
      </c>
    </row>
    <row r="106" spans="1:4" x14ac:dyDescent="0.2">
      <c r="A106" s="1">
        <v>45200</v>
      </c>
      <c r="B106">
        <v>3</v>
      </c>
      <c r="C106">
        <v>5274</v>
      </c>
      <c r="D106">
        <v>1.0023</v>
      </c>
    </row>
    <row r="107" spans="1:4" x14ac:dyDescent="0.2">
      <c r="A107" s="1">
        <v>45231</v>
      </c>
      <c r="B107" t="s">
        <v>4</v>
      </c>
      <c r="C107">
        <f>13457+5640+3995+7000+4952.92+5095+8739+8500+4591</f>
        <v>61969.919999999998</v>
      </c>
      <c r="D107">
        <v>1.089</v>
      </c>
    </row>
    <row r="108" spans="1:4" x14ac:dyDescent="0.2">
      <c r="A108" s="1">
        <v>45231</v>
      </c>
      <c r="B108" t="s">
        <v>5</v>
      </c>
      <c r="C108">
        <f>+-1*C107</f>
        <v>-61969.919999999998</v>
      </c>
      <c r="D108">
        <v>1.089</v>
      </c>
    </row>
    <row r="109" spans="1:4" x14ac:dyDescent="0.2">
      <c r="A109" s="1">
        <v>45231</v>
      </c>
      <c r="B109">
        <v>2</v>
      </c>
      <c r="C109">
        <v>2378</v>
      </c>
      <c r="D109">
        <v>1.089</v>
      </c>
    </row>
    <row r="110" spans="1:4" x14ac:dyDescent="0.2">
      <c r="A110" s="1">
        <v>45231</v>
      </c>
      <c r="B110">
        <v>1</v>
      </c>
      <c r="C110">
        <v>997</v>
      </c>
      <c r="D110">
        <v>1.089</v>
      </c>
    </row>
    <row r="111" spans="1:4" x14ac:dyDescent="0.2">
      <c r="A111" s="1">
        <v>45231</v>
      </c>
      <c r="B111">
        <v>3</v>
      </c>
      <c r="C111">
        <v>5437</v>
      </c>
      <c r="D111">
        <v>1.089</v>
      </c>
    </row>
    <row r="112" spans="1:4" x14ac:dyDescent="0.2">
      <c r="A112" s="1">
        <v>45261</v>
      </c>
      <c r="B112" t="s">
        <v>4</v>
      </c>
      <c r="C112">
        <f>13457+5640+3995+7000+4952.92+5095+8739+8500+4591+4000</f>
        <v>65969.919999999998</v>
      </c>
      <c r="D112">
        <f>146760.92/138600</f>
        <v>1.0588810966810969</v>
      </c>
    </row>
    <row r="113" spans="1:4" x14ac:dyDescent="0.2">
      <c r="A113" s="1">
        <v>45261</v>
      </c>
      <c r="B113" t="s">
        <v>5</v>
      </c>
      <c r="C113">
        <f>+-1*C112</f>
        <v>-65969.919999999998</v>
      </c>
      <c r="D113">
        <f t="shared" ref="D113:D116" si="5">146760.92/138600</f>
        <v>1.0588810966810969</v>
      </c>
    </row>
    <row r="114" spans="1:4" x14ac:dyDescent="0.2">
      <c r="A114" s="1">
        <v>45261</v>
      </c>
      <c r="B114">
        <v>2</v>
      </c>
      <c r="C114">
        <v>2443</v>
      </c>
      <c r="D114">
        <f t="shared" si="5"/>
        <v>1.0588810966810969</v>
      </c>
    </row>
    <row r="115" spans="1:4" x14ac:dyDescent="0.2">
      <c r="A115" s="1">
        <v>45261</v>
      </c>
      <c r="B115">
        <v>1</v>
      </c>
      <c r="C115">
        <v>1024</v>
      </c>
      <c r="D115">
        <f t="shared" si="5"/>
        <v>1.0588810966810969</v>
      </c>
    </row>
    <row r="116" spans="1:4" x14ac:dyDescent="0.2">
      <c r="A116" s="1">
        <v>45261</v>
      </c>
      <c r="B116">
        <v>3</v>
      </c>
      <c r="C116">
        <v>5633</v>
      </c>
      <c r="D116">
        <f t="shared" si="5"/>
        <v>1.0588810966810969</v>
      </c>
    </row>
    <row r="117" spans="1:4" x14ac:dyDescent="0.2">
      <c r="A117" s="1">
        <v>45292</v>
      </c>
      <c r="B117">
        <v>2</v>
      </c>
      <c r="C117">
        <v>2519</v>
      </c>
      <c r="D117">
        <f>169212.4/172620</f>
        <v>0.98025952960259521</v>
      </c>
    </row>
    <row r="118" spans="1:4" x14ac:dyDescent="0.2">
      <c r="A118" s="1">
        <v>45292</v>
      </c>
      <c r="B118">
        <v>1</v>
      </c>
      <c r="C118">
        <v>1068</v>
      </c>
      <c r="D118">
        <f t="shared" ref="D118:D121" si="6">169212.4/172620</f>
        <v>0.98025952960259521</v>
      </c>
    </row>
    <row r="119" spans="1:4" x14ac:dyDescent="0.2">
      <c r="A119" s="1">
        <v>45292</v>
      </c>
      <c r="B119">
        <v>3</v>
      </c>
      <c r="C119">
        <v>5918</v>
      </c>
      <c r="D119">
        <f t="shared" si="6"/>
        <v>0.98025952960259521</v>
      </c>
    </row>
    <row r="120" spans="1:4" x14ac:dyDescent="0.2">
      <c r="A120" s="1">
        <v>45292</v>
      </c>
      <c r="B120" t="s">
        <v>4</v>
      </c>
      <c r="C120">
        <f>13457+5640+3995+7000+4952.92+5095+8739+8500+4591+4000+3500</f>
        <v>69469.919999999998</v>
      </c>
      <c r="D120">
        <f t="shared" si="6"/>
        <v>0.98025952960259521</v>
      </c>
    </row>
    <row r="121" spans="1:4" x14ac:dyDescent="0.2">
      <c r="A121" s="1">
        <v>45292</v>
      </c>
      <c r="B121" t="s">
        <v>5</v>
      </c>
      <c r="C121">
        <f>+-1*C120</f>
        <v>-69469.919999999998</v>
      </c>
      <c r="D121">
        <f t="shared" si="6"/>
        <v>0.98025952960259521</v>
      </c>
    </row>
    <row r="122" spans="1:4" x14ac:dyDescent="0.2">
      <c r="A122" s="1">
        <v>45323</v>
      </c>
      <c r="B122">
        <v>2</v>
      </c>
      <c r="C122">
        <v>2607</v>
      </c>
      <c r="D122">
        <f>163020.02/157440</f>
        <v>1.035442200203252</v>
      </c>
    </row>
    <row r="123" spans="1:4" x14ac:dyDescent="0.2">
      <c r="A123" s="1">
        <v>45323</v>
      </c>
      <c r="B123">
        <v>1</v>
      </c>
      <c r="C123">
        <v>1108</v>
      </c>
      <c r="D123">
        <f t="shared" ref="D123:D127" si="7">163020.02/157440</f>
        <v>1.035442200203252</v>
      </c>
    </row>
    <row r="124" spans="1:4" x14ac:dyDescent="0.2">
      <c r="A124" s="1">
        <v>45323</v>
      </c>
      <c r="B124">
        <v>3</v>
      </c>
      <c r="C124">
        <v>6182</v>
      </c>
      <c r="D124">
        <f t="shared" si="7"/>
        <v>1.035442200203252</v>
      </c>
    </row>
    <row r="125" spans="1:4" x14ac:dyDescent="0.2">
      <c r="A125" s="1">
        <v>45323</v>
      </c>
      <c r="B125" t="s">
        <v>4</v>
      </c>
      <c r="C125">
        <f>13457+5640+3995+7000+4952.92+5095+8739+8500+4591+4000+3500</f>
        <v>69469.919999999998</v>
      </c>
      <c r="D125">
        <f t="shared" si="7"/>
        <v>1.035442200203252</v>
      </c>
    </row>
    <row r="126" spans="1:4" x14ac:dyDescent="0.2">
      <c r="A126" s="1">
        <v>45323</v>
      </c>
      <c r="B126" t="s">
        <v>5</v>
      </c>
      <c r="C126">
        <f>+-1*C125</f>
        <v>-69469.919999999998</v>
      </c>
      <c r="D126">
        <f t="shared" si="7"/>
        <v>1.035442200203252</v>
      </c>
    </row>
    <row r="127" spans="1:4" x14ac:dyDescent="0.2">
      <c r="A127" s="1">
        <v>45323</v>
      </c>
      <c r="B127">
        <v>4</v>
      </c>
      <c r="C127">
        <v>51</v>
      </c>
      <c r="D127">
        <f t="shared" si="7"/>
        <v>1.035442200203252</v>
      </c>
    </row>
    <row r="128" spans="1:4" x14ac:dyDescent="0.2">
      <c r="A128" s="1">
        <v>45352</v>
      </c>
      <c r="B128">
        <v>2</v>
      </c>
      <c r="C128">
        <v>2717</v>
      </c>
      <c r="D128">
        <v>1.1498299999999999</v>
      </c>
    </row>
    <row r="129" spans="1:4" x14ac:dyDescent="0.2">
      <c r="A129" s="1">
        <v>45352</v>
      </c>
      <c r="B129">
        <v>1</v>
      </c>
      <c r="C129">
        <v>1147</v>
      </c>
      <c r="D129">
        <v>1.1498299999999999</v>
      </c>
    </row>
    <row r="130" spans="1:4" x14ac:dyDescent="0.2">
      <c r="A130" s="1">
        <v>45352</v>
      </c>
      <c r="B130">
        <v>3</v>
      </c>
      <c r="C130">
        <v>6346</v>
      </c>
      <c r="D130">
        <v>1.1498299999999999</v>
      </c>
    </row>
    <row r="131" spans="1:4" x14ac:dyDescent="0.2">
      <c r="A131" s="1">
        <v>45352</v>
      </c>
      <c r="B131" t="s">
        <v>4</v>
      </c>
      <c r="C131">
        <f>13457+5640+3995+7000+4952.92+5095+8739+8500+4591+4000+3500+2000</f>
        <v>71469.919999999998</v>
      </c>
      <c r="D131">
        <v>1.1498299999999999</v>
      </c>
    </row>
    <row r="132" spans="1:4" x14ac:dyDescent="0.2">
      <c r="A132" s="1">
        <v>45352</v>
      </c>
      <c r="B132" t="s">
        <v>5</v>
      </c>
      <c r="C132">
        <f>+-1*C131</f>
        <v>-71469.919999999998</v>
      </c>
      <c r="D132">
        <v>1.1498299999999999</v>
      </c>
    </row>
    <row r="133" spans="1:4" x14ac:dyDescent="0.2">
      <c r="A133" s="1">
        <v>45352</v>
      </c>
      <c r="B133">
        <v>4</v>
      </c>
      <c r="C133">
        <v>109</v>
      </c>
      <c r="D133">
        <v>1.1498299999999999</v>
      </c>
    </row>
    <row r="134" spans="1:4" x14ac:dyDescent="0.2">
      <c r="A134" s="1">
        <v>45383</v>
      </c>
      <c r="B134">
        <v>2</v>
      </c>
      <c r="C134">
        <v>2808</v>
      </c>
      <c r="D134">
        <v>1.0678099999999999</v>
      </c>
    </row>
    <row r="135" spans="1:4" x14ac:dyDescent="0.2">
      <c r="A135" s="1">
        <v>45383</v>
      </c>
      <c r="B135">
        <v>1</v>
      </c>
      <c r="C135">
        <v>1178</v>
      </c>
      <c r="D135">
        <v>1.0678099999999999</v>
      </c>
    </row>
    <row r="136" spans="1:4" x14ac:dyDescent="0.2">
      <c r="A136" s="1">
        <v>45383</v>
      </c>
      <c r="B136">
        <v>3</v>
      </c>
      <c r="C136">
        <v>6552</v>
      </c>
      <c r="D136">
        <v>1.0678099999999999</v>
      </c>
    </row>
    <row r="137" spans="1:4" x14ac:dyDescent="0.2">
      <c r="A137" s="1">
        <v>45383</v>
      </c>
      <c r="B137" t="s">
        <v>4</v>
      </c>
      <c r="C137">
        <f>13457+5640+3995+7000+4952.92+5095+8739+8500+4591+4000+3500+2000+2000</f>
        <v>73469.919999999998</v>
      </c>
      <c r="D137">
        <v>1.0678099999999999</v>
      </c>
    </row>
    <row r="138" spans="1:4" x14ac:dyDescent="0.2">
      <c r="A138" s="1">
        <v>45383</v>
      </c>
      <c r="B138" t="s">
        <v>5</v>
      </c>
      <c r="C138">
        <f>+-1*C137</f>
        <v>-73469.919999999998</v>
      </c>
      <c r="D138">
        <v>1.0678099999999999</v>
      </c>
    </row>
    <row r="139" spans="1:4" x14ac:dyDescent="0.2">
      <c r="A139" s="1">
        <v>45383</v>
      </c>
      <c r="B139">
        <v>4</v>
      </c>
      <c r="C139">
        <v>138</v>
      </c>
      <c r="D139">
        <v>1.0678099999999999</v>
      </c>
    </row>
    <row r="140" spans="1:4" x14ac:dyDescent="0.2">
      <c r="A140" s="1">
        <v>45383</v>
      </c>
      <c r="B140" t="s">
        <v>6</v>
      </c>
      <c r="C140">
        <v>-100</v>
      </c>
      <c r="D140">
        <v>1.0678099999999999</v>
      </c>
    </row>
    <row r="141" spans="1:4" x14ac:dyDescent="0.2">
      <c r="A141" s="1">
        <v>45413</v>
      </c>
      <c r="B141">
        <v>2</v>
      </c>
      <c r="C141">
        <v>2880</v>
      </c>
      <c r="D141">
        <v>1.1263000000000001</v>
      </c>
    </row>
    <row r="142" spans="1:4" x14ac:dyDescent="0.2">
      <c r="A142" s="1">
        <v>45413</v>
      </c>
      <c r="B142">
        <v>1</v>
      </c>
      <c r="C142">
        <v>1204</v>
      </c>
      <c r="D142">
        <v>1.1263000000000001</v>
      </c>
    </row>
    <row r="143" spans="1:4" x14ac:dyDescent="0.2">
      <c r="A143" s="1">
        <v>45413</v>
      </c>
      <c r="B143">
        <v>3</v>
      </c>
      <c r="C143">
        <v>6706</v>
      </c>
      <c r="D143">
        <v>1.1263000000000001</v>
      </c>
    </row>
    <row r="144" spans="1:4" x14ac:dyDescent="0.2">
      <c r="A144" s="1">
        <v>45413</v>
      </c>
      <c r="B144" t="s">
        <v>4</v>
      </c>
      <c r="C144">
        <f>13457+5640+3995+7000+4952.92+5095+8739+8500+4591+4000+3500+2000+2000+3000</f>
        <v>76469.919999999998</v>
      </c>
      <c r="D144">
        <v>1.1263000000000001</v>
      </c>
    </row>
    <row r="145" spans="1:4" x14ac:dyDescent="0.2">
      <c r="A145" s="1">
        <v>45413</v>
      </c>
      <c r="B145" t="s">
        <v>5</v>
      </c>
      <c r="C145">
        <f>+-1*C144</f>
        <v>-76469.919999999998</v>
      </c>
      <c r="D145">
        <v>1.1263000000000001</v>
      </c>
    </row>
    <row r="146" spans="1:4" x14ac:dyDescent="0.2">
      <c r="A146" s="1">
        <v>45413</v>
      </c>
      <c r="B146">
        <v>4</v>
      </c>
      <c r="C146">
        <v>154</v>
      </c>
      <c r="D146">
        <v>1.1263000000000001</v>
      </c>
    </row>
    <row r="147" spans="1:4" x14ac:dyDescent="0.2">
      <c r="A147" s="1">
        <v>45413</v>
      </c>
      <c r="B147" t="s">
        <v>6</v>
      </c>
      <c r="C147">
        <v>-100</v>
      </c>
      <c r="D147">
        <v>1.1263000000000001</v>
      </c>
    </row>
    <row r="148" spans="1:4" x14ac:dyDescent="0.2">
      <c r="A148" s="1">
        <v>45444</v>
      </c>
      <c r="B148">
        <v>2</v>
      </c>
      <c r="C148">
        <v>2964</v>
      </c>
      <c r="D148">
        <v>0.98609999999999998</v>
      </c>
    </row>
    <row r="149" spans="1:4" x14ac:dyDescent="0.2">
      <c r="A149" s="1">
        <v>45444</v>
      </c>
      <c r="B149">
        <v>1</v>
      </c>
      <c r="C149">
        <v>1232</v>
      </c>
      <c r="D149">
        <v>0.98609999999999998</v>
      </c>
    </row>
    <row r="150" spans="1:4" x14ac:dyDescent="0.2">
      <c r="A150" s="1">
        <v>45444</v>
      </c>
      <c r="B150">
        <v>3</v>
      </c>
      <c r="C150">
        <v>6836</v>
      </c>
      <c r="D150">
        <v>0.98609999999999998</v>
      </c>
    </row>
    <row r="151" spans="1:4" x14ac:dyDescent="0.2">
      <c r="A151" s="1">
        <v>45444</v>
      </c>
      <c r="B151" t="s">
        <v>4</v>
      </c>
      <c r="C151">
        <f>13457+5640+3995+7000+4952.92+5095+8739+8500+4591+4000+3500+2000+2000+3000+2500</f>
        <v>78969.919999999998</v>
      </c>
      <c r="D151">
        <v>0.98609999999999998</v>
      </c>
    </row>
    <row r="152" spans="1:4" x14ac:dyDescent="0.2">
      <c r="A152" s="1">
        <v>45444</v>
      </c>
      <c r="B152" t="s">
        <v>5</v>
      </c>
      <c r="C152">
        <f>+-1*C151</f>
        <v>-78969.919999999998</v>
      </c>
      <c r="D152">
        <v>0.98609999999999998</v>
      </c>
    </row>
    <row r="153" spans="1:4" x14ac:dyDescent="0.2">
      <c r="A153" s="1">
        <v>45444</v>
      </c>
      <c r="B153">
        <v>4</v>
      </c>
      <c r="C153">
        <v>166</v>
      </c>
      <c r="D153">
        <v>0.98609999999999998</v>
      </c>
    </row>
    <row r="154" spans="1:4" x14ac:dyDescent="0.2">
      <c r="A154" s="1">
        <v>45444</v>
      </c>
      <c r="B154" t="s">
        <v>6</v>
      </c>
      <c r="C154">
        <v>-100</v>
      </c>
      <c r="D154">
        <v>0.98609999999999998</v>
      </c>
    </row>
    <row r="155" spans="1:4" x14ac:dyDescent="0.2">
      <c r="A155" s="1">
        <v>45474</v>
      </c>
      <c r="B155">
        <v>2</v>
      </c>
      <c r="C155">
        <v>3102</v>
      </c>
      <c r="D155">
        <v>0.94310000000000005</v>
      </c>
    </row>
    <row r="156" spans="1:4" x14ac:dyDescent="0.2">
      <c r="A156" s="1">
        <v>45474</v>
      </c>
      <c r="B156">
        <v>1</v>
      </c>
      <c r="C156">
        <v>1275</v>
      </c>
      <c r="D156">
        <v>0.94310000000000005</v>
      </c>
    </row>
    <row r="157" spans="1:4" x14ac:dyDescent="0.2">
      <c r="A157" s="1">
        <v>45474</v>
      </c>
      <c r="B157">
        <v>3</v>
      </c>
      <c r="C157">
        <v>6995</v>
      </c>
      <c r="D157">
        <v>0.94310000000000005</v>
      </c>
    </row>
    <row r="158" spans="1:4" x14ac:dyDescent="0.2">
      <c r="A158" s="1">
        <v>45474</v>
      </c>
      <c r="B158" t="s">
        <v>4</v>
      </c>
      <c r="C158">
        <f>13457+5640+3995+7000+4952.92+5095+8739+8500+4591+4000+3500+2000+2000+3000+2500+4241.33</f>
        <v>83211.25</v>
      </c>
      <c r="D158">
        <v>0.94310000000000005</v>
      </c>
    </row>
    <row r="159" spans="1:4" x14ac:dyDescent="0.2">
      <c r="A159" s="1">
        <v>45474</v>
      </c>
      <c r="B159" t="s">
        <v>5</v>
      </c>
      <c r="C159">
        <f>+-1*C158</f>
        <v>-83211.25</v>
      </c>
      <c r="D159">
        <v>0.94310000000000005</v>
      </c>
    </row>
    <row r="160" spans="1:4" x14ac:dyDescent="0.2">
      <c r="A160" s="1">
        <v>45474</v>
      </c>
      <c r="B160">
        <v>4</v>
      </c>
      <c r="C160">
        <v>186</v>
      </c>
      <c r="D160">
        <v>0.94310000000000005</v>
      </c>
    </row>
    <row r="161" spans="1:4" x14ac:dyDescent="0.2">
      <c r="A161" s="1">
        <v>45474</v>
      </c>
      <c r="B161" t="s">
        <v>6</v>
      </c>
      <c r="C161">
        <v>-100</v>
      </c>
      <c r="D161">
        <v>0.94310000000000005</v>
      </c>
    </row>
    <row r="162" spans="1:4" x14ac:dyDescent="0.2">
      <c r="A162" s="1">
        <v>45505</v>
      </c>
      <c r="B162">
        <v>2</v>
      </c>
      <c r="C162">
        <v>3242</v>
      </c>
      <c r="D162">
        <v>1.0074000000000001</v>
      </c>
    </row>
    <row r="163" spans="1:4" x14ac:dyDescent="0.2">
      <c r="A163" s="1">
        <v>45505</v>
      </c>
      <c r="B163">
        <v>1</v>
      </c>
      <c r="C163">
        <v>1321</v>
      </c>
      <c r="D163">
        <v>1.0074000000000001</v>
      </c>
    </row>
    <row r="164" spans="1:4" x14ac:dyDescent="0.2">
      <c r="A164" s="1">
        <v>45505</v>
      </c>
      <c r="B164">
        <v>3</v>
      </c>
      <c r="C164">
        <v>7213</v>
      </c>
      <c r="D164">
        <v>1.0074000000000001</v>
      </c>
    </row>
    <row r="165" spans="1:4" x14ac:dyDescent="0.2">
      <c r="A165" s="1">
        <v>45505</v>
      </c>
      <c r="B165" t="s">
        <v>4</v>
      </c>
      <c r="C165">
        <f>13457+5640+3995+7000+4952.92+5095+8739+8500+4591+4000+3500+2000+2000+3000+2500+4241.33+2000</f>
        <v>85211.25</v>
      </c>
      <c r="D165">
        <v>1.0074000000000001</v>
      </c>
    </row>
    <row r="166" spans="1:4" x14ac:dyDescent="0.2">
      <c r="A166" s="1">
        <v>45505</v>
      </c>
      <c r="B166" t="s">
        <v>5</v>
      </c>
      <c r="C166">
        <f>+-1*C165</f>
        <v>-85211.25</v>
      </c>
      <c r="D166">
        <v>1.0074000000000001</v>
      </c>
    </row>
    <row r="167" spans="1:4" x14ac:dyDescent="0.2">
      <c r="A167" s="1">
        <v>45505</v>
      </c>
      <c r="B167">
        <v>4</v>
      </c>
      <c r="C167">
        <v>219</v>
      </c>
      <c r="D167">
        <v>1.0074000000000001</v>
      </c>
    </row>
    <row r="168" spans="1:4" x14ac:dyDescent="0.2">
      <c r="A168" s="1">
        <v>45505</v>
      </c>
      <c r="B168" t="s">
        <v>6</v>
      </c>
      <c r="C168">
        <v>-100</v>
      </c>
      <c r="D168">
        <v>1.0074000000000001</v>
      </c>
    </row>
    <row r="169" spans="1:4" x14ac:dyDescent="0.2">
      <c r="A169" s="1">
        <v>45536</v>
      </c>
      <c r="B169">
        <v>2</v>
      </c>
      <c r="C169">
        <v>3349</v>
      </c>
      <c r="D169">
        <v>0.95760000000000001</v>
      </c>
    </row>
    <row r="170" spans="1:4" x14ac:dyDescent="0.2">
      <c r="A170" s="1">
        <v>45536</v>
      </c>
      <c r="B170">
        <v>1</v>
      </c>
      <c r="C170">
        <v>1353</v>
      </c>
      <c r="D170">
        <v>0.95760000000000001</v>
      </c>
    </row>
    <row r="171" spans="1:4" x14ac:dyDescent="0.2">
      <c r="A171" s="1">
        <v>45536</v>
      </c>
      <c r="B171">
        <v>3</v>
      </c>
      <c r="C171">
        <v>7393</v>
      </c>
      <c r="D171">
        <v>0.95760000000000001</v>
      </c>
    </row>
    <row r="172" spans="1:4" x14ac:dyDescent="0.2">
      <c r="A172" s="1">
        <v>45536</v>
      </c>
      <c r="B172" t="s">
        <v>4</v>
      </c>
      <c r="C172">
        <f>13457+5640+3995+7000+4952.92+5095+8739+8500+4591+4000+3500+2000+2000+3000+2500+4241.33+2000+1044</f>
        <v>86255.25</v>
      </c>
      <c r="D172">
        <v>0.95760000000000001</v>
      </c>
    </row>
    <row r="173" spans="1:4" x14ac:dyDescent="0.2">
      <c r="A173" s="1">
        <v>45536</v>
      </c>
      <c r="B173" t="s">
        <v>5</v>
      </c>
      <c r="C173">
        <f>+-1*C172</f>
        <v>-86255.25</v>
      </c>
      <c r="D173">
        <v>0.95760000000000001</v>
      </c>
    </row>
    <row r="174" spans="1:4" x14ac:dyDescent="0.2">
      <c r="A174" s="1">
        <v>45536</v>
      </c>
      <c r="B174">
        <v>4</v>
      </c>
      <c r="C174">
        <v>256</v>
      </c>
      <c r="D174">
        <v>0.95760000000000001</v>
      </c>
    </row>
    <row r="175" spans="1:4" x14ac:dyDescent="0.2">
      <c r="A175" s="1">
        <v>45536</v>
      </c>
      <c r="B175" t="s">
        <v>6</v>
      </c>
      <c r="C175">
        <v>-100</v>
      </c>
      <c r="D175">
        <v>0.95760000000000001</v>
      </c>
    </row>
    <row r="176" spans="1:4" x14ac:dyDescent="0.2">
      <c r="A176" s="1">
        <v>45566</v>
      </c>
      <c r="B176">
        <v>2</v>
      </c>
      <c r="C176">
        <v>3433</v>
      </c>
      <c r="D176">
        <v>0.9425</v>
      </c>
    </row>
    <row r="177" spans="1:4" x14ac:dyDescent="0.2">
      <c r="A177" s="1">
        <v>45566</v>
      </c>
      <c r="B177">
        <v>1</v>
      </c>
      <c r="C177">
        <v>1377</v>
      </c>
      <c r="D177">
        <v>0.9425</v>
      </c>
    </row>
    <row r="178" spans="1:4" x14ac:dyDescent="0.2">
      <c r="A178" s="1">
        <v>45566</v>
      </c>
      <c r="B178">
        <v>3</v>
      </c>
      <c r="C178">
        <v>7511</v>
      </c>
      <c r="D178">
        <v>0.9425</v>
      </c>
    </row>
    <row r="179" spans="1:4" x14ac:dyDescent="0.2">
      <c r="A179" s="1">
        <v>45566</v>
      </c>
      <c r="B179" t="s">
        <v>7</v>
      </c>
      <c r="C179">
        <f>13457+5640+3995+7000+4952.92+5095+8739+8500+4591+4000+3500+2000+2000+3000+2500+4241.33+2000+1044</f>
        <v>86255.25</v>
      </c>
      <c r="D179">
        <v>0.9425</v>
      </c>
    </row>
    <row r="180" spans="1:4" x14ac:dyDescent="0.2">
      <c r="A180" s="1">
        <v>45566</v>
      </c>
      <c r="B180" t="s">
        <v>8</v>
      </c>
      <c r="C180">
        <v>-86255.25</v>
      </c>
      <c r="D180">
        <v>0.9425</v>
      </c>
    </row>
    <row r="181" spans="1:4" x14ac:dyDescent="0.2">
      <c r="A181" s="1">
        <v>45566</v>
      </c>
      <c r="B181">
        <v>4</v>
      </c>
      <c r="C181">
        <v>274</v>
      </c>
      <c r="D181">
        <v>0.9425</v>
      </c>
    </row>
    <row r="182" spans="1:4" x14ac:dyDescent="0.2">
      <c r="A182" s="1">
        <v>45566</v>
      </c>
      <c r="B182" t="s">
        <v>9</v>
      </c>
      <c r="C182">
        <v>-100</v>
      </c>
      <c r="D182">
        <v>0.9425</v>
      </c>
    </row>
    <row r="183" spans="1:4" x14ac:dyDescent="0.2">
      <c r="A183" s="1">
        <v>45597</v>
      </c>
      <c r="B183">
        <v>2</v>
      </c>
      <c r="C183">
        <v>3516</v>
      </c>
      <c r="D183">
        <v>0.94259999999999999</v>
      </c>
    </row>
    <row r="184" spans="1:4" x14ac:dyDescent="0.2">
      <c r="A184" s="1">
        <v>45597</v>
      </c>
      <c r="B184">
        <v>1</v>
      </c>
      <c r="C184">
        <v>1406</v>
      </c>
      <c r="D184">
        <v>0.94259999999999999</v>
      </c>
    </row>
    <row r="185" spans="1:4" x14ac:dyDescent="0.2">
      <c r="A185" s="1">
        <v>45597</v>
      </c>
      <c r="B185">
        <v>3</v>
      </c>
      <c r="C185">
        <v>7615</v>
      </c>
      <c r="D185">
        <v>0.94259999999999999</v>
      </c>
    </row>
    <row r="186" spans="1:4" x14ac:dyDescent="0.2">
      <c r="A186" s="1">
        <v>45597</v>
      </c>
      <c r="B186" t="s">
        <v>7</v>
      </c>
      <c r="C186">
        <f>13457+5640+3995+7000+4952.92+5095+8739+8500+4591+4000+3500+2000+2000+3000+2500+4241.33+2000+1044</f>
        <v>86255.25</v>
      </c>
      <c r="D186">
        <v>0.94259999999999999</v>
      </c>
    </row>
    <row r="187" spans="1:4" x14ac:dyDescent="0.2">
      <c r="A187" s="1">
        <v>45597</v>
      </c>
      <c r="B187" t="s">
        <v>8</v>
      </c>
      <c r="C187">
        <f>+-C186</f>
        <v>-86255.25</v>
      </c>
      <c r="D187">
        <v>0.94259999999999999</v>
      </c>
    </row>
    <row r="188" spans="1:4" x14ac:dyDescent="0.2">
      <c r="A188" s="1">
        <v>45597</v>
      </c>
      <c r="B188">
        <v>4</v>
      </c>
      <c r="C188">
        <v>288</v>
      </c>
      <c r="D188">
        <v>0.94259999999999999</v>
      </c>
    </row>
    <row r="189" spans="1:4" x14ac:dyDescent="0.2">
      <c r="A189" s="1">
        <v>45597</v>
      </c>
      <c r="B189" t="s">
        <v>9</v>
      </c>
      <c r="C189">
        <v>-100</v>
      </c>
      <c r="D189">
        <v>0.94259999999999999</v>
      </c>
    </row>
    <row r="190" spans="1:4" x14ac:dyDescent="0.2">
      <c r="A190" s="1">
        <v>45627</v>
      </c>
      <c r="B190">
        <v>2</v>
      </c>
      <c r="C190">
        <v>3633</v>
      </c>
      <c r="D190">
        <v>0.90839999999999999</v>
      </c>
    </row>
    <row r="191" spans="1:4" x14ac:dyDescent="0.2">
      <c r="A191" s="1">
        <v>45627</v>
      </c>
      <c r="B191">
        <v>1</v>
      </c>
      <c r="C191">
        <v>1442</v>
      </c>
      <c r="D191">
        <v>0.90839999999999999</v>
      </c>
    </row>
    <row r="192" spans="1:4" x14ac:dyDescent="0.2">
      <c r="A192" s="1">
        <v>45627</v>
      </c>
      <c r="B192">
        <v>3</v>
      </c>
      <c r="C192">
        <v>7756</v>
      </c>
      <c r="D192">
        <v>0.90839999999999999</v>
      </c>
    </row>
    <row r="193" spans="1:4" x14ac:dyDescent="0.2">
      <c r="A193" s="1">
        <v>45627</v>
      </c>
      <c r="B193" t="s">
        <v>7</v>
      </c>
      <c r="C193">
        <f>13457+5640+3995+7000+4952.92+5095+8739+8500+4591+4000+3500+2000+2000+3000+2500+4241.33+2000+1044+2202</f>
        <v>88457.25</v>
      </c>
      <c r="D193">
        <v>0.90839999999999999</v>
      </c>
    </row>
    <row r="194" spans="1:4" x14ac:dyDescent="0.2">
      <c r="A194" s="1">
        <v>45627</v>
      </c>
      <c r="B194" t="s">
        <v>8</v>
      </c>
      <c r="C194">
        <f>+-C193</f>
        <v>-88457.25</v>
      </c>
      <c r="D194">
        <v>0.90839999999999999</v>
      </c>
    </row>
    <row r="195" spans="1:4" x14ac:dyDescent="0.2">
      <c r="A195" s="1">
        <v>45627</v>
      </c>
      <c r="B195">
        <v>4</v>
      </c>
      <c r="C195">
        <v>313</v>
      </c>
      <c r="D195">
        <v>0.90839999999999999</v>
      </c>
    </row>
    <row r="196" spans="1:4" x14ac:dyDescent="0.2">
      <c r="A196" s="1">
        <v>45627</v>
      </c>
      <c r="B196" t="s">
        <v>9</v>
      </c>
      <c r="C196">
        <v>-100</v>
      </c>
      <c r="D196">
        <v>0.90839999999999999</v>
      </c>
    </row>
    <row r="197" spans="1:4" x14ac:dyDescent="0.2">
      <c r="A197" s="1">
        <v>45658</v>
      </c>
      <c r="B197">
        <v>2</v>
      </c>
      <c r="C197">
        <v>3836</v>
      </c>
      <c r="D197">
        <v>0.97957970000000005</v>
      </c>
    </row>
    <row r="198" spans="1:4" x14ac:dyDescent="0.2">
      <c r="A198" s="1">
        <v>45658</v>
      </c>
      <c r="B198">
        <v>1</v>
      </c>
      <c r="C198">
        <v>1509</v>
      </c>
      <c r="D198">
        <v>0.97957970000000005</v>
      </c>
    </row>
    <row r="199" spans="1:4" x14ac:dyDescent="0.2">
      <c r="A199" s="1">
        <v>45658</v>
      </c>
      <c r="B199">
        <v>3</v>
      </c>
      <c r="C199">
        <v>7934</v>
      </c>
      <c r="D199">
        <v>0.97957970000000005</v>
      </c>
    </row>
    <row r="200" spans="1:4" x14ac:dyDescent="0.2">
      <c r="A200" s="1">
        <v>45658</v>
      </c>
      <c r="B200" t="s">
        <v>7</v>
      </c>
      <c r="C200">
        <f>13457+5640+3995+7000+4952.92+5095+8739+8500+4591+4000+3500+2000+2000+3000+2500+4241.33+2000+1044+2202+2042</f>
        <v>90499.25</v>
      </c>
      <c r="D200">
        <v>0.97957970000000005</v>
      </c>
    </row>
    <row r="201" spans="1:4" x14ac:dyDescent="0.2">
      <c r="A201" s="1">
        <v>45658</v>
      </c>
      <c r="B201" t="s">
        <v>8</v>
      </c>
      <c r="C201">
        <f>+-C200</f>
        <v>-90499.25</v>
      </c>
      <c r="D201">
        <v>0.97957970000000005</v>
      </c>
    </row>
    <row r="202" spans="1:4" x14ac:dyDescent="0.2">
      <c r="A202" s="1">
        <v>45658</v>
      </c>
      <c r="B202">
        <v>4</v>
      </c>
      <c r="C202">
        <v>341</v>
      </c>
      <c r="D202">
        <v>0.97957970000000005</v>
      </c>
    </row>
    <row r="203" spans="1:4" x14ac:dyDescent="0.2">
      <c r="A203" s="1">
        <v>45658</v>
      </c>
      <c r="B203" t="s">
        <v>9</v>
      </c>
      <c r="C203">
        <v>-100</v>
      </c>
      <c r="D203">
        <v>0.97957970000000005</v>
      </c>
    </row>
    <row r="204" spans="1:4" x14ac:dyDescent="0.2">
      <c r="A204" s="1">
        <v>45689</v>
      </c>
      <c r="B204">
        <v>2</v>
      </c>
      <c r="C204">
        <v>3953</v>
      </c>
      <c r="D204">
        <v>1.0510000100000001</v>
      </c>
    </row>
    <row r="205" spans="1:4" x14ac:dyDescent="0.2">
      <c r="A205" s="1">
        <v>45689</v>
      </c>
      <c r="B205">
        <v>1</v>
      </c>
      <c r="C205">
        <v>1567</v>
      </c>
      <c r="D205">
        <v>1.0510000100000001</v>
      </c>
    </row>
    <row r="206" spans="1:4" x14ac:dyDescent="0.2">
      <c r="A206" s="1">
        <v>45689</v>
      </c>
      <c r="B206">
        <v>3</v>
      </c>
      <c r="C206">
        <v>8076</v>
      </c>
      <c r="D206">
        <v>1.0510000100000001</v>
      </c>
    </row>
    <row r="207" spans="1:4" x14ac:dyDescent="0.2">
      <c r="A207" s="1">
        <v>45689</v>
      </c>
      <c r="B207" t="s">
        <v>7</v>
      </c>
      <c r="C207">
        <f>13457+5640+3995+7000+4952.92+5095+8739+8500+4591+4000+3500+2000+2000+3000+2500+4241.33+2000+1044+2202+2042</f>
        <v>90499.25</v>
      </c>
      <c r="D207">
        <v>1.0510000100000001</v>
      </c>
    </row>
    <row r="208" spans="1:4" x14ac:dyDescent="0.2">
      <c r="A208" s="1">
        <v>45689</v>
      </c>
      <c r="B208" t="s">
        <v>8</v>
      </c>
      <c r="C208">
        <f>+-C207</f>
        <v>-90499.25</v>
      </c>
      <c r="D208">
        <v>1.0510000100000001</v>
      </c>
    </row>
    <row r="209" spans="1:4" x14ac:dyDescent="0.2">
      <c r="A209" s="1">
        <v>45689</v>
      </c>
      <c r="B209">
        <v>4</v>
      </c>
      <c r="C209">
        <v>361</v>
      </c>
      <c r="D209">
        <v>1.0510000100000001</v>
      </c>
    </row>
    <row r="210" spans="1:4" x14ac:dyDescent="0.2">
      <c r="A210" s="1">
        <v>45689</v>
      </c>
      <c r="B210" t="s">
        <v>9</v>
      </c>
      <c r="C210">
        <v>-100</v>
      </c>
      <c r="D210">
        <v>1.0510000100000001</v>
      </c>
    </row>
    <row r="211" spans="1:4" x14ac:dyDescent="0.2">
      <c r="A211" s="1">
        <v>45717</v>
      </c>
      <c r="B211">
        <v>2</v>
      </c>
      <c r="C211">
        <v>4092</v>
      </c>
      <c r="D211">
        <v>0.96994127068873404</v>
      </c>
    </row>
    <row r="212" spans="1:4" x14ac:dyDescent="0.2">
      <c r="A212" s="1">
        <v>45717</v>
      </c>
      <c r="B212">
        <v>1</v>
      </c>
      <c r="C212">
        <v>1627</v>
      </c>
      <c r="D212">
        <v>0.96994127068873404</v>
      </c>
    </row>
    <row r="213" spans="1:4" x14ac:dyDescent="0.2">
      <c r="A213" s="1">
        <v>45717</v>
      </c>
      <c r="B213">
        <v>3</v>
      </c>
      <c r="C213">
        <v>8226</v>
      </c>
      <c r="D213">
        <v>0.96994127068873404</v>
      </c>
    </row>
    <row r="214" spans="1:4" x14ac:dyDescent="0.2">
      <c r="A214" s="1">
        <v>45717</v>
      </c>
      <c r="B214" t="s">
        <v>7</v>
      </c>
      <c r="C214">
        <f>13457+5640+3995+7000+4952.92+5095+8739+8500+4591+4000+3500+2000+2000+3000+2500+4241.33+2000+1044+2202+2042+3092.97</f>
        <v>93592.22</v>
      </c>
      <c r="D214">
        <v>0.96994127068873404</v>
      </c>
    </row>
    <row r="215" spans="1:4" x14ac:dyDescent="0.2">
      <c r="A215" s="1">
        <v>45717</v>
      </c>
      <c r="B215" t="s">
        <v>8</v>
      </c>
      <c r="C215">
        <f>+-C214</f>
        <v>-93592.22</v>
      </c>
      <c r="D215">
        <v>0.96994127068873404</v>
      </c>
    </row>
    <row r="216" spans="1:4" x14ac:dyDescent="0.2">
      <c r="A216" s="1">
        <v>45717</v>
      </c>
      <c r="B216">
        <v>4</v>
      </c>
      <c r="C216">
        <v>403</v>
      </c>
      <c r="D216">
        <v>0.96994127068873404</v>
      </c>
    </row>
    <row r="217" spans="1:4" x14ac:dyDescent="0.2">
      <c r="A217" s="1">
        <v>45717</v>
      </c>
      <c r="B217" t="s">
        <v>9</v>
      </c>
      <c r="C217">
        <v>-100</v>
      </c>
      <c r="D217">
        <v>0.96994127068873404</v>
      </c>
    </row>
    <row r="218" spans="1:4" x14ac:dyDescent="0.2">
      <c r="A218" s="1">
        <v>45748</v>
      </c>
      <c r="B218">
        <v>2</v>
      </c>
      <c r="C218">
        <v>4301</v>
      </c>
      <c r="D218">
        <v>0.942357</v>
      </c>
    </row>
    <row r="219" spans="1:4" x14ac:dyDescent="0.2">
      <c r="A219" s="1">
        <v>45748</v>
      </c>
      <c r="B219">
        <v>1</v>
      </c>
      <c r="C219">
        <v>1697</v>
      </c>
      <c r="D219">
        <v>0.942357</v>
      </c>
    </row>
    <row r="220" spans="1:4" x14ac:dyDescent="0.2">
      <c r="A220" s="1">
        <v>45748</v>
      </c>
      <c r="B220">
        <v>3</v>
      </c>
      <c r="C220">
        <v>8366</v>
      </c>
      <c r="D220">
        <v>0.942357</v>
      </c>
    </row>
    <row r="221" spans="1:4" x14ac:dyDescent="0.2">
      <c r="A221" s="1">
        <v>45748</v>
      </c>
      <c r="B221" t="s">
        <v>7</v>
      </c>
      <c r="C221">
        <f>13457+5640+3995+7000+4952.92+5095+8739+8500+4591+4000+3500+2000+2000+3000+2500+4241.33+2000+1044+2202+2042+3092.97+5305.84</f>
        <v>98898.06</v>
      </c>
      <c r="D221">
        <v>0.942357</v>
      </c>
    </row>
    <row r="222" spans="1:4" x14ac:dyDescent="0.2">
      <c r="A222" s="1">
        <v>45748</v>
      </c>
      <c r="B222" t="s">
        <v>8</v>
      </c>
      <c r="C222">
        <f>+-C221</f>
        <v>-98898.06</v>
      </c>
      <c r="D222">
        <v>0.942357</v>
      </c>
    </row>
    <row r="223" spans="1:4" x14ac:dyDescent="0.2">
      <c r="A223" s="1">
        <v>45748</v>
      </c>
      <c r="B223">
        <v>4</v>
      </c>
      <c r="C223">
        <v>425</v>
      </c>
      <c r="D223">
        <v>0.942357</v>
      </c>
    </row>
    <row r="224" spans="1:4" x14ac:dyDescent="0.2">
      <c r="A224" s="1">
        <v>45748</v>
      </c>
      <c r="B224" t="s">
        <v>9</v>
      </c>
      <c r="C224">
        <v>-100</v>
      </c>
      <c r="D224">
        <v>0.942357</v>
      </c>
    </row>
    <row r="225" spans="1:4" x14ac:dyDescent="0.2">
      <c r="A225" s="1">
        <v>45778</v>
      </c>
      <c r="B225">
        <v>2</v>
      </c>
      <c r="C225">
        <v>4451</v>
      </c>
      <c r="D225">
        <v>0.94815170000000004</v>
      </c>
    </row>
    <row r="226" spans="1:4" x14ac:dyDescent="0.2">
      <c r="A226" s="1">
        <v>45778</v>
      </c>
      <c r="B226">
        <v>1</v>
      </c>
      <c r="C226">
        <v>1751</v>
      </c>
      <c r="D226">
        <v>0.94815170000000004</v>
      </c>
    </row>
    <row r="227" spans="1:4" x14ac:dyDescent="0.2">
      <c r="A227" s="1">
        <v>45778</v>
      </c>
      <c r="B227">
        <v>3</v>
      </c>
      <c r="C227">
        <v>8486</v>
      </c>
      <c r="D227">
        <v>0.94815170000000004</v>
      </c>
    </row>
    <row r="228" spans="1:4" x14ac:dyDescent="0.2">
      <c r="A228" s="1">
        <v>45778</v>
      </c>
      <c r="B228" t="s">
        <v>7</v>
      </c>
      <c r="C228">
        <f>13457+5640+3995+7000+4952.92+5095+8739+8500+4591+4000+3500+2000+2000+3000+2500+4241.33+2000+1044+2202+2042+3092.97+5305.84+4219</f>
        <v>103117.06</v>
      </c>
      <c r="D228">
        <v>0.94815170000000004</v>
      </c>
    </row>
    <row r="229" spans="1:4" x14ac:dyDescent="0.2">
      <c r="A229" s="1">
        <v>45778</v>
      </c>
      <c r="B229" t="s">
        <v>8</v>
      </c>
      <c r="C229">
        <f>+-C228</f>
        <v>-103117.06</v>
      </c>
      <c r="D229">
        <v>0.94815170000000004</v>
      </c>
    </row>
    <row r="230" spans="1:4" x14ac:dyDescent="0.2">
      <c r="A230" s="1">
        <v>45778</v>
      </c>
      <c r="B230">
        <v>4</v>
      </c>
      <c r="C230">
        <v>437</v>
      </c>
      <c r="D230">
        <v>0.94815170000000004</v>
      </c>
    </row>
    <row r="231" spans="1:4" x14ac:dyDescent="0.2">
      <c r="A231" s="1">
        <v>45778</v>
      </c>
      <c r="B231" t="s">
        <v>9</v>
      </c>
      <c r="C231">
        <v>-100</v>
      </c>
      <c r="D231">
        <v>0.94815170000000004</v>
      </c>
    </row>
    <row r="232" spans="1:4" x14ac:dyDescent="0.2">
      <c r="A232" s="1">
        <v>45809</v>
      </c>
      <c r="B232">
        <v>2</v>
      </c>
      <c r="C232">
        <v>4544</v>
      </c>
      <c r="D232">
        <v>1.0094391</v>
      </c>
    </row>
    <row r="233" spans="1:4" x14ac:dyDescent="0.2">
      <c r="A233" s="1">
        <v>45809</v>
      </c>
      <c r="B233">
        <v>1</v>
      </c>
      <c r="C233">
        <v>1791</v>
      </c>
      <c r="D233">
        <v>1.0094391</v>
      </c>
    </row>
    <row r="234" spans="1:4" x14ac:dyDescent="0.2">
      <c r="A234" s="1">
        <v>45809</v>
      </c>
      <c r="B234">
        <v>3</v>
      </c>
      <c r="C234">
        <v>8610</v>
      </c>
      <c r="D234">
        <v>1.0094391</v>
      </c>
    </row>
    <row r="235" spans="1:4" x14ac:dyDescent="0.2">
      <c r="A235" s="1">
        <v>45809</v>
      </c>
      <c r="B235" t="s">
        <v>7</v>
      </c>
      <c r="C235">
        <f>13457+5640+3995+7000+4952.92+5095+8739+8500+4591+4000+3500+2000+2000+3000+2500+4241.33+2000+1044+2202+2042+3092.97+5305.84+4219+1981.3</f>
        <v>105098.36</v>
      </c>
      <c r="D235">
        <v>1.0094391</v>
      </c>
    </row>
    <row r="236" spans="1:4" x14ac:dyDescent="0.2">
      <c r="A236" s="1">
        <v>45809</v>
      </c>
      <c r="B236" t="s">
        <v>8</v>
      </c>
      <c r="C236">
        <f>+-C235</f>
        <v>-105098.36</v>
      </c>
      <c r="D236">
        <v>1.0094391</v>
      </c>
    </row>
    <row r="237" spans="1:4" x14ac:dyDescent="0.2">
      <c r="A237" s="1">
        <v>45809</v>
      </c>
      <c r="B237">
        <v>4</v>
      </c>
      <c r="C237">
        <v>448</v>
      </c>
      <c r="D237">
        <v>1.0094391</v>
      </c>
    </row>
    <row r="238" spans="1:4" x14ac:dyDescent="0.2">
      <c r="A238" s="1">
        <v>45809</v>
      </c>
      <c r="B238" t="s">
        <v>9</v>
      </c>
      <c r="C238">
        <v>-100</v>
      </c>
      <c r="D238">
        <v>1.0094391</v>
      </c>
    </row>
    <row r="239" spans="1:4" x14ac:dyDescent="0.2">
      <c r="A239" s="1">
        <v>45839</v>
      </c>
      <c r="B239">
        <v>2</v>
      </c>
      <c r="C239">
        <v>4682</v>
      </c>
      <c r="D239">
        <v>0.88737770000000005</v>
      </c>
    </row>
    <row r="240" spans="1:4" x14ac:dyDescent="0.2">
      <c r="A240" s="1">
        <v>45839</v>
      </c>
      <c r="B240">
        <v>1</v>
      </c>
      <c r="C240">
        <v>1845</v>
      </c>
      <c r="D240">
        <v>0.88737770000000005</v>
      </c>
    </row>
    <row r="241" spans="1:4" x14ac:dyDescent="0.2">
      <c r="A241" s="1">
        <v>45839</v>
      </c>
      <c r="B241">
        <v>3</v>
      </c>
      <c r="C241">
        <v>8768</v>
      </c>
      <c r="D241">
        <v>0.88737770000000005</v>
      </c>
    </row>
    <row r="242" spans="1:4" x14ac:dyDescent="0.2">
      <c r="A242" s="1">
        <v>45839</v>
      </c>
      <c r="B242" t="s">
        <v>7</v>
      </c>
      <c r="C242">
        <f>13457+5640+3995+7000+4952.92+5095+8739+8500+4591+4000+3500+2000+2000+3000+2500+4241.33+2000+1044+2202+2042+3092.97+5305.84+4219+1981.3+2253.83</f>
        <v>107352.19</v>
      </c>
      <c r="D242">
        <v>0.88737770000000005</v>
      </c>
    </row>
    <row r="243" spans="1:4" x14ac:dyDescent="0.2">
      <c r="A243" s="1">
        <v>45839</v>
      </c>
      <c r="B243" t="s">
        <v>8</v>
      </c>
      <c r="C243">
        <f>+-C242</f>
        <v>-107352.19</v>
      </c>
      <c r="D243">
        <v>0.88737770000000005</v>
      </c>
    </row>
    <row r="244" spans="1:4" x14ac:dyDescent="0.2">
      <c r="A244" s="1">
        <v>45839</v>
      </c>
      <c r="B244">
        <v>4</v>
      </c>
      <c r="C244">
        <v>468</v>
      </c>
      <c r="D244">
        <v>0.88737770000000005</v>
      </c>
    </row>
    <row r="245" spans="1:4" x14ac:dyDescent="0.2">
      <c r="A245" s="1">
        <v>45839</v>
      </c>
      <c r="B245" t="s">
        <v>9</v>
      </c>
      <c r="C245">
        <v>-100</v>
      </c>
      <c r="D245">
        <v>0.88737770000000005</v>
      </c>
    </row>
    <row r="246" spans="1:4" x14ac:dyDescent="0.2">
      <c r="A246" s="1">
        <v>45870</v>
      </c>
      <c r="B246">
        <v>2</v>
      </c>
      <c r="C246">
        <v>4812</v>
      </c>
      <c r="D246">
        <v>1.1062008999999999</v>
      </c>
    </row>
    <row r="247" spans="1:4" x14ac:dyDescent="0.2">
      <c r="A247" s="1">
        <v>45870</v>
      </c>
      <c r="B247">
        <v>1</v>
      </c>
      <c r="C247">
        <v>1895</v>
      </c>
      <c r="D247">
        <v>1.1062008999999999</v>
      </c>
    </row>
    <row r="248" spans="1:4" x14ac:dyDescent="0.2">
      <c r="A248" s="1">
        <v>45870</v>
      </c>
      <c r="B248">
        <v>3</v>
      </c>
      <c r="C248">
        <v>8943</v>
      </c>
      <c r="D248">
        <v>1.1062008999999999</v>
      </c>
    </row>
    <row r="249" spans="1:4" x14ac:dyDescent="0.2">
      <c r="A249" s="1">
        <v>45870</v>
      </c>
      <c r="B249" t="s">
        <v>7</v>
      </c>
      <c r="C249">
        <f>13457+5640+3995+7000+4952.92+5095+8739+8500+4591+4000+3500+2000+2000+3000+2500+4241.33+2000+1044+2202+2042+3092.97+5305.84+4219+1981.3+2253.83+3615.98</f>
        <v>110968.17</v>
      </c>
      <c r="D249">
        <v>1.1062008999999999</v>
      </c>
    </row>
    <row r="250" spans="1:4" x14ac:dyDescent="0.2">
      <c r="A250" s="1">
        <v>45870</v>
      </c>
      <c r="B250" t="s">
        <v>8</v>
      </c>
      <c r="C250">
        <f>+-C249</f>
        <v>-110968.17</v>
      </c>
      <c r="D250">
        <v>1.1062008999999999</v>
      </c>
    </row>
    <row r="251" spans="1:4" x14ac:dyDescent="0.2">
      <c r="A251" s="1">
        <v>45870</v>
      </c>
      <c r="B251">
        <v>4</v>
      </c>
      <c r="C251">
        <v>492</v>
      </c>
      <c r="D251">
        <v>1.1062008999999999</v>
      </c>
    </row>
    <row r="252" spans="1:4" x14ac:dyDescent="0.2">
      <c r="A252" s="1">
        <v>45870</v>
      </c>
      <c r="B252" t="s">
        <v>9</v>
      </c>
      <c r="C252">
        <v>-100</v>
      </c>
      <c r="D252">
        <v>1.1062008999999999</v>
      </c>
    </row>
    <row r="253" spans="1:4" x14ac:dyDescent="0.2">
      <c r="A253" s="1">
        <v>45901</v>
      </c>
      <c r="B253">
        <v>2</v>
      </c>
      <c r="C253">
        <v>5006</v>
      </c>
      <c r="D253">
        <v>0.98164359999999995</v>
      </c>
    </row>
    <row r="254" spans="1:4" x14ac:dyDescent="0.2">
      <c r="A254" s="1">
        <v>45901</v>
      </c>
      <c r="B254">
        <v>1</v>
      </c>
      <c r="C254">
        <v>1966</v>
      </c>
      <c r="D254">
        <v>0.98164359999999995</v>
      </c>
    </row>
    <row r="255" spans="1:4" x14ac:dyDescent="0.2">
      <c r="A255" s="1">
        <v>45901</v>
      </c>
      <c r="B255">
        <v>3</v>
      </c>
      <c r="C255">
        <v>9101</v>
      </c>
      <c r="D255">
        <v>0.98164359999999995</v>
      </c>
    </row>
    <row r="256" spans="1:4" x14ac:dyDescent="0.2">
      <c r="A256" s="1">
        <v>45901</v>
      </c>
      <c r="B256" t="s">
        <v>7</v>
      </c>
      <c r="C256">
        <f>13457+5640+3995+7000+4952.92+5095+8739+8500+4591+4000+3500+2000+2000+3000+2500+4241.33+2000+1044+2202+2042+3092.97+5305.84+4219+1981.3+2253.83+3615.98+5093.5</f>
        <v>116061.67</v>
      </c>
      <c r="D256">
        <v>0.98164359999999995</v>
      </c>
    </row>
    <row r="257" spans="1:5" x14ac:dyDescent="0.2">
      <c r="A257" s="1">
        <v>45901</v>
      </c>
      <c r="B257" t="s">
        <v>8</v>
      </c>
      <c r="C257">
        <f>+-C256</f>
        <v>-116061.67</v>
      </c>
      <c r="D257">
        <v>0.98164359999999995</v>
      </c>
    </row>
    <row r="258" spans="1:5" x14ac:dyDescent="0.2">
      <c r="A258" s="1">
        <v>45901</v>
      </c>
      <c r="B258">
        <v>4</v>
      </c>
      <c r="C258">
        <v>528</v>
      </c>
      <c r="D258">
        <v>0.98164359999999995</v>
      </c>
    </row>
    <row r="259" spans="1:5" x14ac:dyDescent="0.2">
      <c r="A259" s="1">
        <v>45901</v>
      </c>
      <c r="B259" t="s">
        <v>9</v>
      </c>
      <c r="C259">
        <v>-100</v>
      </c>
      <c r="D259">
        <v>0.98164359999999995</v>
      </c>
    </row>
    <row r="260" spans="1:5" x14ac:dyDescent="0.2">
      <c r="A260" s="1">
        <v>45931</v>
      </c>
      <c r="B260">
        <v>2</v>
      </c>
      <c r="C260">
        <v>5179</v>
      </c>
      <c r="D260">
        <v>0.98355490000000001</v>
      </c>
    </row>
    <row r="261" spans="1:5" x14ac:dyDescent="0.2">
      <c r="A261" s="1">
        <v>45931</v>
      </c>
      <c r="B261">
        <v>1</v>
      </c>
      <c r="C261">
        <v>2034</v>
      </c>
      <c r="D261">
        <v>0.98355490000000001</v>
      </c>
    </row>
    <row r="262" spans="1:5" x14ac:dyDescent="0.2">
      <c r="A262" s="1">
        <v>45931</v>
      </c>
      <c r="B262">
        <v>3</v>
      </c>
      <c r="C262">
        <v>9243</v>
      </c>
      <c r="D262">
        <v>0.98355490000000001</v>
      </c>
    </row>
    <row r="263" spans="1:5" x14ac:dyDescent="0.2">
      <c r="A263" s="1">
        <v>45931</v>
      </c>
      <c r="B263" t="s">
        <v>7</v>
      </c>
      <c r="C263">
        <f>13457+5640+3995+7000+4952.92+5095+8739+8500+4591+4000+3500+2000+2000+3000+2500+4241.33+2000+1044+2202+2042+3092.97+5305.84+4219+1981.3+2253.83+3615.98+5093.5+5083.6</f>
        <v>121145.27</v>
      </c>
      <c r="D263">
        <v>0.98355490000000001</v>
      </c>
    </row>
    <row r="264" spans="1:5" x14ac:dyDescent="0.2">
      <c r="A264" s="1">
        <v>45931</v>
      </c>
      <c r="B264" t="s">
        <v>8</v>
      </c>
      <c r="C264">
        <f>+-C263</f>
        <v>-121145.27</v>
      </c>
      <c r="D264">
        <v>0.98355490000000001</v>
      </c>
    </row>
    <row r="265" spans="1:5" x14ac:dyDescent="0.2">
      <c r="A265" s="1">
        <v>45931</v>
      </c>
      <c r="B265">
        <v>4</v>
      </c>
      <c r="C265">
        <v>546</v>
      </c>
      <c r="D265">
        <v>0.98355490000000001</v>
      </c>
    </row>
    <row r="266" spans="1:5" x14ac:dyDescent="0.2">
      <c r="A266" s="1">
        <v>45931</v>
      </c>
      <c r="B266" t="s">
        <v>9</v>
      </c>
      <c r="C266">
        <v>-100</v>
      </c>
      <c r="D266">
        <v>0.98355490000000001</v>
      </c>
    </row>
    <row r="267" spans="1:5" x14ac:dyDescent="0.2">
      <c r="A267" s="1">
        <v>45962</v>
      </c>
      <c r="B267">
        <v>2</v>
      </c>
      <c r="C267">
        <v>5353</v>
      </c>
      <c r="D267">
        <v>1.0804676</v>
      </c>
    </row>
    <row r="268" spans="1:5" x14ac:dyDescent="0.2">
      <c r="A268" s="1">
        <v>45962</v>
      </c>
      <c r="B268">
        <v>1</v>
      </c>
      <c r="C268">
        <v>2089</v>
      </c>
      <c r="D268">
        <v>1.0804676</v>
      </c>
    </row>
    <row r="269" spans="1:5" x14ac:dyDescent="0.2">
      <c r="A269" s="1">
        <v>45962</v>
      </c>
      <c r="B269">
        <v>3</v>
      </c>
      <c r="C269">
        <v>9358</v>
      </c>
      <c r="D269">
        <v>1.0804676</v>
      </c>
      <c r="E269">
        <f>7000/D281</f>
        <v>6719.3063525666112</v>
      </c>
    </row>
    <row r="270" spans="1:5" x14ac:dyDescent="0.2">
      <c r="A270" s="1">
        <v>45962</v>
      </c>
      <c r="B270" t="s">
        <v>7</v>
      </c>
      <c r="C270">
        <f>13457+5640+3995+7000+4952.92+5095+8739+8500+4591+4000+3500+2000+2000+3000+2500+4241.33+2000+1044+2202+2042+3092.97+5305.84+4219+1981.3+2253.83+3615.98+5093.5+5083.6+4627.6</f>
        <v>125772.87000000001</v>
      </c>
      <c r="D270">
        <v>1.0804676</v>
      </c>
    </row>
    <row r="271" spans="1:5" x14ac:dyDescent="0.2">
      <c r="A271" s="1">
        <v>45962</v>
      </c>
      <c r="B271" t="s">
        <v>8</v>
      </c>
      <c r="C271">
        <f>+-C270</f>
        <v>-125772.87000000001</v>
      </c>
      <c r="D271">
        <v>1.0804676</v>
      </c>
    </row>
    <row r="272" spans="1:5" x14ac:dyDescent="0.2">
      <c r="A272" s="1">
        <v>45962</v>
      </c>
      <c r="B272">
        <v>4</v>
      </c>
      <c r="C272">
        <v>556</v>
      </c>
      <c r="D272">
        <v>1.0804676</v>
      </c>
    </row>
    <row r="273" spans="1:5" x14ac:dyDescent="0.2">
      <c r="A273" s="1">
        <v>45962</v>
      </c>
      <c r="B273" t="s">
        <v>9</v>
      </c>
      <c r="C273">
        <v>-100</v>
      </c>
      <c r="D273">
        <v>1.0804676</v>
      </c>
    </row>
    <row r="274" spans="1:5" x14ac:dyDescent="0.2">
      <c r="A274" s="1">
        <v>45992</v>
      </c>
      <c r="B274">
        <v>2</v>
      </c>
      <c r="C274">
        <v>5558</v>
      </c>
      <c r="D274">
        <v>0.96535499999999996</v>
      </c>
    </row>
    <row r="275" spans="1:5" x14ac:dyDescent="0.2">
      <c r="A275" s="1">
        <v>45992</v>
      </c>
      <c r="B275">
        <v>1</v>
      </c>
      <c r="C275">
        <v>2163</v>
      </c>
      <c r="D275">
        <v>0.96535499999999996</v>
      </c>
    </row>
    <row r="276" spans="1:5" x14ac:dyDescent="0.2">
      <c r="A276" s="1">
        <v>45992</v>
      </c>
      <c r="B276">
        <v>3</v>
      </c>
      <c r="C276">
        <v>9484</v>
      </c>
      <c r="D276">
        <v>0.96535499999999996</v>
      </c>
    </row>
    <row r="277" spans="1:5" x14ac:dyDescent="0.2">
      <c r="A277" s="1">
        <v>45992</v>
      </c>
      <c r="B277" t="s">
        <v>7</v>
      </c>
      <c r="C277">
        <f>13457+5640+3995+7000+4952.92+5095+8739+8500+4591+4000+3500+2000+2000+3000+2500+4241.33+2000+1044+2202+2042+3092.97+5305.84+4219+1981.3+2253.83+3615.98+5093.5+5083.6+4627.6+5179.44</f>
        <v>130952.31000000001</v>
      </c>
      <c r="D277">
        <v>0.96535499999999996</v>
      </c>
    </row>
    <row r="278" spans="1:5" x14ac:dyDescent="0.2">
      <c r="A278" s="1">
        <v>45992</v>
      </c>
      <c r="B278" t="s">
        <v>8</v>
      </c>
      <c r="C278">
        <f>+-C277</f>
        <v>-130952.31000000001</v>
      </c>
      <c r="D278">
        <v>0.96535499999999996</v>
      </c>
    </row>
    <row r="279" spans="1:5" x14ac:dyDescent="0.2">
      <c r="A279" s="1">
        <v>45992</v>
      </c>
      <c r="B279">
        <v>4</v>
      </c>
      <c r="C279">
        <v>563</v>
      </c>
      <c r="D279">
        <v>0.96535499999999996</v>
      </c>
    </row>
    <row r="280" spans="1:5" x14ac:dyDescent="0.2">
      <c r="A280" s="1">
        <v>45992</v>
      </c>
      <c r="B280" t="s">
        <v>9</v>
      </c>
      <c r="C280">
        <v>-100</v>
      </c>
      <c r="D280">
        <v>0.96535499999999996</v>
      </c>
    </row>
    <row r="281" spans="1:5" x14ac:dyDescent="0.2">
      <c r="A281" s="1">
        <v>46023</v>
      </c>
      <c r="B281">
        <v>2</v>
      </c>
      <c r="C281">
        <v>5749</v>
      </c>
      <c r="D281">
        <v>1.0417742000000001</v>
      </c>
    </row>
    <row r="282" spans="1:5" x14ac:dyDescent="0.2">
      <c r="A282" s="1">
        <v>46023</v>
      </c>
      <c r="B282">
        <v>1</v>
      </c>
      <c r="C282">
        <v>2245</v>
      </c>
      <c r="D282">
        <v>1.0417742000000001</v>
      </c>
    </row>
    <row r="283" spans="1:5" x14ac:dyDescent="0.2">
      <c r="A283" s="1">
        <v>46023</v>
      </c>
      <c r="B283">
        <v>3</v>
      </c>
      <c r="C283">
        <v>9618</v>
      </c>
      <c r="D283">
        <v>1.0417742000000001</v>
      </c>
    </row>
    <row r="284" spans="1:5" x14ac:dyDescent="0.2">
      <c r="A284" s="1">
        <v>46023</v>
      </c>
      <c r="B284" t="s">
        <v>7</v>
      </c>
      <c r="C284">
        <f>13457+5640+3995+7000+4952.92+5095+8739+8500+4591+4000+3500+2000+2000+3000+2500+4241.33+2000+1044+2202+2042+3092.97+5305.84+4219+1981.3+2253.83+3615.98+5093.5+5083.6+4627.6+5179.44+6719.31</f>
        <v>137671.62000000002</v>
      </c>
      <c r="D284">
        <v>1.0417742000000001</v>
      </c>
    </row>
    <row r="285" spans="1:5" x14ac:dyDescent="0.2">
      <c r="A285" s="1">
        <v>46023</v>
      </c>
      <c r="B285" t="s">
        <v>8</v>
      </c>
      <c r="C285">
        <f>+-C284</f>
        <v>-137671.62000000002</v>
      </c>
      <c r="D285">
        <v>1.0417742000000001</v>
      </c>
    </row>
    <row r="286" spans="1:5" x14ac:dyDescent="0.2">
      <c r="A286" s="1">
        <v>46023</v>
      </c>
      <c r="B286">
        <v>4</v>
      </c>
      <c r="C286">
        <v>577</v>
      </c>
      <c r="D286">
        <v>1.0417742000000001</v>
      </c>
    </row>
    <row r="287" spans="1:5" x14ac:dyDescent="0.2">
      <c r="A287" s="1">
        <v>46023</v>
      </c>
      <c r="B287" t="s">
        <v>9</v>
      </c>
      <c r="C287">
        <v>-100</v>
      </c>
      <c r="D287">
        <v>1.0417742000000001</v>
      </c>
    </row>
    <row r="288" spans="1:5" x14ac:dyDescent="0.2">
      <c r="A288" s="1">
        <v>46054</v>
      </c>
      <c r="B288">
        <v>2</v>
      </c>
      <c r="C288">
        <v>5940</v>
      </c>
      <c r="D288">
        <v>1.0304812000000001</v>
      </c>
      <c r="E288">
        <f>5000/D288</f>
        <v>4852.1021053076947</v>
      </c>
    </row>
    <row r="289" spans="1:5" x14ac:dyDescent="0.2">
      <c r="A289" s="1">
        <v>46054</v>
      </c>
      <c r="B289">
        <v>1</v>
      </c>
      <c r="C289">
        <v>2335</v>
      </c>
      <c r="D289">
        <v>1.0304812000000001</v>
      </c>
    </row>
    <row r="290" spans="1:5" x14ac:dyDescent="0.2">
      <c r="A290" s="1">
        <v>46054</v>
      </c>
      <c r="B290">
        <v>3</v>
      </c>
      <c r="C290">
        <v>9807</v>
      </c>
      <c r="D290">
        <v>1.0304812000000001</v>
      </c>
    </row>
    <row r="291" spans="1:5" x14ac:dyDescent="0.2">
      <c r="A291" s="1">
        <v>46054</v>
      </c>
      <c r="B291" t="s">
        <v>7</v>
      </c>
      <c r="C291">
        <f>13457+5640+3995+7000+4952.92+5095+8739+8500+4591+4000+3500+2000+2000+3000+2500+4241.33+2000+1044+2202+2042+3092.97+5305.84+4219+1981.3+2253.83+3615.98+5093.5+5083.6+4627.6+5179.44+6719.31+4852.1</f>
        <v>142523.72000000003</v>
      </c>
      <c r="D291">
        <v>1.0304812000000001</v>
      </c>
    </row>
    <row r="292" spans="1:5" x14ac:dyDescent="0.2">
      <c r="A292" s="1">
        <v>46054</v>
      </c>
      <c r="B292" t="s">
        <v>8</v>
      </c>
      <c r="C292">
        <f>+-C291</f>
        <v>-142523.72000000003</v>
      </c>
      <c r="D292">
        <v>1.0304812000000001</v>
      </c>
    </row>
    <row r="293" spans="1:5" x14ac:dyDescent="0.2">
      <c r="A293" s="1">
        <v>46054</v>
      </c>
      <c r="B293">
        <v>4</v>
      </c>
      <c r="C293">
        <v>606</v>
      </c>
      <c r="D293">
        <v>1.0304812000000001</v>
      </c>
    </row>
    <row r="294" spans="1:5" x14ac:dyDescent="0.2">
      <c r="A294" s="1">
        <v>46054</v>
      </c>
      <c r="B294" t="s">
        <v>9</v>
      </c>
      <c r="C294">
        <v>-100</v>
      </c>
      <c r="D294">
        <v>1.0304812000000001</v>
      </c>
    </row>
    <row r="295" spans="1:5" x14ac:dyDescent="0.2">
      <c r="A295" s="1">
        <v>46082</v>
      </c>
      <c r="B295">
        <v>2</v>
      </c>
      <c r="C295">
        <v>6133</v>
      </c>
      <c r="D295">
        <v>1.1663891</v>
      </c>
      <c r="E295">
        <f>7000/D295</f>
        <v>6001.4278254143492</v>
      </c>
    </row>
    <row r="296" spans="1:5" x14ac:dyDescent="0.2">
      <c r="A296" s="1">
        <v>46082</v>
      </c>
      <c r="B296">
        <v>1</v>
      </c>
      <c r="C296">
        <v>2417</v>
      </c>
      <c r="D296">
        <v>1.1663891</v>
      </c>
    </row>
    <row r="297" spans="1:5" x14ac:dyDescent="0.2">
      <c r="A297" s="1">
        <v>46082</v>
      </c>
      <c r="B297">
        <v>3</v>
      </c>
      <c r="C297">
        <v>9926</v>
      </c>
      <c r="D297">
        <v>1.1663891</v>
      </c>
    </row>
    <row r="298" spans="1:5" x14ac:dyDescent="0.2">
      <c r="A298" s="1">
        <v>46082</v>
      </c>
      <c r="B298" t="s">
        <v>7</v>
      </c>
      <c r="C298">
        <f>13457+5640+3995+7000+4952.92+5095+8739+8500+4591+4000+3500+2000+2000+3000+2500+4241.33+2000+1044+2202+2042+3092.97+5305.84+4219+1981.3+2253.83+3615.98+5093.5+5083.6+4627.6+5179.44+6719.31+4852.1+6001</f>
        <v>148524.72000000003</v>
      </c>
      <c r="D298">
        <v>1.1663891</v>
      </c>
    </row>
    <row r="299" spans="1:5" x14ac:dyDescent="0.2">
      <c r="A299" s="1">
        <v>46082</v>
      </c>
      <c r="B299" t="s">
        <v>8</v>
      </c>
      <c r="C299">
        <f>+-C298</f>
        <v>-148524.72000000003</v>
      </c>
      <c r="D299">
        <v>1.1663891</v>
      </c>
    </row>
    <row r="300" spans="1:5" x14ac:dyDescent="0.2">
      <c r="A300" s="1">
        <v>46082</v>
      </c>
      <c r="B300">
        <v>4</v>
      </c>
      <c r="C300">
        <v>596</v>
      </c>
      <c r="D300">
        <v>1.1663891</v>
      </c>
    </row>
    <row r="301" spans="1:5" x14ac:dyDescent="0.2">
      <c r="A301" s="1">
        <v>46082</v>
      </c>
      <c r="B301" t="s">
        <v>9</v>
      </c>
      <c r="C301">
        <v>-100</v>
      </c>
      <c r="D301">
        <v>1.1663891</v>
      </c>
    </row>
    <row r="302" spans="1:5" x14ac:dyDescent="0.2">
      <c r="A302" s="1">
        <v>46113</v>
      </c>
      <c r="B302">
        <v>2</v>
      </c>
      <c r="C302">
        <v>6376</v>
      </c>
      <c r="D302">
        <v>1.0108968</v>
      </c>
      <c r="E302">
        <f>6000/D302</f>
        <v>5935.3239618524858</v>
      </c>
    </row>
    <row r="303" spans="1:5" x14ac:dyDescent="0.2">
      <c r="A303" s="1">
        <v>46113</v>
      </c>
      <c r="B303">
        <v>1</v>
      </c>
      <c r="C303">
        <v>2505</v>
      </c>
      <c r="D303">
        <v>1.0108968</v>
      </c>
    </row>
    <row r="304" spans="1:5" x14ac:dyDescent="0.2">
      <c r="A304" s="1">
        <v>46113</v>
      </c>
      <c r="B304">
        <v>3</v>
      </c>
      <c r="C304">
        <v>10075</v>
      </c>
      <c r="D304">
        <v>1.0108968</v>
      </c>
    </row>
    <row r="305" spans="1:5" x14ac:dyDescent="0.2">
      <c r="A305" s="1">
        <v>46113</v>
      </c>
      <c r="B305" t="s">
        <v>7</v>
      </c>
      <c r="C305">
        <f>13457+5640+3995+7000+4952.92+5095+8739+8500+4591+4000+3500+2000+2000+3000+2500+4241.33+2000+1044+2202+2042+3092.97+5305.84+4219+1981.3+2253.83+3615.98+5093.5+5083.6+4627.6+5179.44+6719.31+4852.1+6001+5935.32</f>
        <v>154460.04000000004</v>
      </c>
      <c r="D305">
        <v>1.0108968</v>
      </c>
    </row>
    <row r="306" spans="1:5" x14ac:dyDescent="0.2">
      <c r="A306" s="1">
        <v>46113</v>
      </c>
      <c r="B306" t="s">
        <v>8</v>
      </c>
      <c r="C306">
        <f>+-C305</f>
        <v>-154460.04000000004</v>
      </c>
      <c r="D306">
        <v>1.0108968</v>
      </c>
    </row>
    <row r="307" spans="1:5" x14ac:dyDescent="0.2">
      <c r="A307" s="1">
        <v>46113</v>
      </c>
      <c r="B307">
        <v>4</v>
      </c>
      <c r="C307">
        <v>606</v>
      </c>
      <c r="D307">
        <v>1.0108968</v>
      </c>
    </row>
    <row r="308" spans="1:5" x14ac:dyDescent="0.2">
      <c r="A308" s="1">
        <v>46113</v>
      </c>
      <c r="B308" t="s">
        <v>9</v>
      </c>
      <c r="C308">
        <v>-100</v>
      </c>
      <c r="D308">
        <v>1.0108968</v>
      </c>
    </row>
    <row r="309" spans="1:5" x14ac:dyDescent="0.2">
      <c r="A309" s="1">
        <v>46143</v>
      </c>
      <c r="B309">
        <v>2</v>
      </c>
      <c r="C309">
        <v>6608</v>
      </c>
      <c r="D309">
        <v>1.0306587</v>
      </c>
      <c r="E309">
        <f>6000/D309</f>
        <v>5821.5197717731389</v>
      </c>
    </row>
    <row r="310" spans="1:5" x14ac:dyDescent="0.2">
      <c r="A310" s="1">
        <v>46143</v>
      </c>
      <c r="B310">
        <v>1</v>
      </c>
      <c r="C310">
        <v>2577</v>
      </c>
      <c r="D310">
        <v>1.0306587</v>
      </c>
    </row>
    <row r="311" spans="1:5" x14ac:dyDescent="0.2">
      <c r="A311" s="1">
        <v>46143</v>
      </c>
      <c r="B311">
        <v>3</v>
      </c>
      <c r="C311">
        <v>10193</v>
      </c>
      <c r="D311">
        <v>1.0306587</v>
      </c>
    </row>
    <row r="312" spans="1:5" x14ac:dyDescent="0.2">
      <c r="A312" s="1">
        <v>46143</v>
      </c>
      <c r="B312" t="s">
        <v>7</v>
      </c>
      <c r="C312">
        <f>13457+5640+3995+7000+4952.92+5095+8739+8500+4591+4000+3500+2000+2000+3000+2500+4241.33+2000+1044+2202+2042+3092.97+5305.84+4219+1981.3+2253.83+3615.98+5093.5+5083.6+4627.6+5179.44+6719.31+4852.1+6001+5935.32+5821.52</f>
        <v>160281.56000000003</v>
      </c>
      <c r="D312">
        <v>1.0306587</v>
      </c>
    </row>
    <row r="313" spans="1:5" x14ac:dyDescent="0.2">
      <c r="A313" s="1">
        <v>46143</v>
      </c>
      <c r="B313" t="s">
        <v>8</v>
      </c>
      <c r="C313">
        <f>+-C312</f>
        <v>-160281.56000000003</v>
      </c>
      <c r="D313">
        <v>1.0306587</v>
      </c>
    </row>
    <row r="314" spans="1:5" x14ac:dyDescent="0.2">
      <c r="A314" s="1">
        <v>46143</v>
      </c>
      <c r="B314">
        <v>4</v>
      </c>
      <c r="C314">
        <v>612</v>
      </c>
      <c r="D314">
        <v>1.0306587</v>
      </c>
    </row>
    <row r="315" spans="1:5" x14ac:dyDescent="0.2">
      <c r="A315" s="1">
        <v>46143</v>
      </c>
      <c r="B315" t="s">
        <v>9</v>
      </c>
      <c r="C315">
        <v>-100</v>
      </c>
      <c r="D315">
        <v>1.0306587</v>
      </c>
    </row>
    <row r="316" spans="1:5" x14ac:dyDescent="0.2">
      <c r="A316" s="1">
        <v>46174</v>
      </c>
      <c r="B316">
        <v>2</v>
      </c>
      <c r="C316">
        <v>6782</v>
      </c>
      <c r="D316">
        <v>1.1317307999999999</v>
      </c>
      <c r="E316">
        <f>6000/D316</f>
        <v>5301.6141294378494</v>
      </c>
    </row>
    <row r="317" spans="1:5" x14ac:dyDescent="0.2">
      <c r="A317" s="1">
        <v>46174</v>
      </c>
      <c r="B317">
        <v>1</v>
      </c>
      <c r="C317">
        <v>2640</v>
      </c>
      <c r="D317">
        <v>1.1317307999999999</v>
      </c>
    </row>
    <row r="318" spans="1:5" x14ac:dyDescent="0.2">
      <c r="A318" s="1">
        <v>46174</v>
      </c>
      <c r="B318">
        <v>3</v>
      </c>
      <c r="C318">
        <v>10321</v>
      </c>
      <c r="D318">
        <v>1.1317307999999999</v>
      </c>
    </row>
    <row r="319" spans="1:5" x14ac:dyDescent="0.2">
      <c r="A319" s="1">
        <v>46174</v>
      </c>
      <c r="B319" t="s">
        <v>7</v>
      </c>
      <c r="C319">
        <f>13457+5640+3995+7000+4952.92+5095+8739+8500+4591+4000+3500+2000+2000+3000+2500+4241.33+2000+1044+2202+2042+3092.97+5305.84+4219+1981.3+2253.83+3615.98+5093.5+5083.6+4627.6+5179.44+6719.31+4852.1+6001+5935.32+5821.52</f>
        <v>160281.56000000003</v>
      </c>
      <c r="D319">
        <v>1.1317307999999999</v>
      </c>
    </row>
    <row r="320" spans="1:5" x14ac:dyDescent="0.2">
      <c r="A320" s="1">
        <v>46174</v>
      </c>
      <c r="B320" t="s">
        <v>8</v>
      </c>
      <c r="C320">
        <f>+-C319</f>
        <v>-160281.56000000003</v>
      </c>
      <c r="D320">
        <v>1.1317307999999999</v>
      </c>
    </row>
    <row r="321" spans="1:5" x14ac:dyDescent="0.2">
      <c r="A321" s="1">
        <v>46174</v>
      </c>
      <c r="B321">
        <v>4</v>
      </c>
      <c r="C321">
        <v>618</v>
      </c>
      <c r="D321">
        <v>1.1317307999999999</v>
      </c>
    </row>
    <row r="322" spans="1:5" x14ac:dyDescent="0.2">
      <c r="A322" s="1">
        <v>46174</v>
      </c>
      <c r="B322" t="s">
        <v>9</v>
      </c>
      <c r="C322">
        <v>-100</v>
      </c>
      <c r="D322">
        <v>1.1317307999999999</v>
      </c>
    </row>
    <row r="323" spans="1:5" x14ac:dyDescent="0.2">
      <c r="A323" s="1">
        <v>46204</v>
      </c>
      <c r="B323">
        <v>2</v>
      </c>
      <c r="C323">
        <v>6967</v>
      </c>
      <c r="D323">
        <v>1.1595485000000001</v>
      </c>
      <c r="E323">
        <f>6000/D323</f>
        <v>5174.427805305254</v>
      </c>
    </row>
    <row r="324" spans="1:5" x14ac:dyDescent="0.2">
      <c r="A324" s="1">
        <v>46204</v>
      </c>
      <c r="B324">
        <v>1</v>
      </c>
      <c r="C324">
        <v>2711</v>
      </c>
      <c r="D324">
        <v>1.1595485000000001</v>
      </c>
    </row>
    <row r="325" spans="1:5" x14ac:dyDescent="0.2">
      <c r="A325" s="1">
        <v>46204</v>
      </c>
      <c r="B325">
        <v>3</v>
      </c>
      <c r="C325">
        <v>10457</v>
      </c>
      <c r="D325">
        <v>1.1595485000000001</v>
      </c>
    </row>
    <row r="326" spans="1:5" x14ac:dyDescent="0.2">
      <c r="A326" s="1">
        <v>46204</v>
      </c>
      <c r="B326" t="s">
        <v>7</v>
      </c>
      <c r="C326">
        <f>13457+5640+3995+7000+4952.92+5095+8739+8500+4591+4000+3500+2000+2000+3000+2500+4241.33+2000+1044+2202+2042+3092.97+5305.84+4219+1981.3+2253.83+3615.98+5093.5+5083.6+4627.6+5179.44+6719.31+4852.1+6001+5935.32+5821.52+5174.428</f>
        <v>165455.98800000001</v>
      </c>
      <c r="D326">
        <v>1.1595485000000001</v>
      </c>
    </row>
    <row r="327" spans="1:5" x14ac:dyDescent="0.2">
      <c r="A327" s="1">
        <v>46204</v>
      </c>
      <c r="B327" t="s">
        <v>8</v>
      </c>
      <c r="C327">
        <f>+-C326</f>
        <v>-165455.98800000001</v>
      </c>
      <c r="D327">
        <v>1.1595485000000001</v>
      </c>
    </row>
    <row r="328" spans="1:5" x14ac:dyDescent="0.2">
      <c r="A328" s="1">
        <v>46204</v>
      </c>
      <c r="B328">
        <v>4</v>
      </c>
      <c r="C328">
        <v>624</v>
      </c>
      <c r="D328">
        <v>1.1595485000000001</v>
      </c>
    </row>
    <row r="329" spans="1:5" x14ac:dyDescent="0.2">
      <c r="A329" s="1">
        <v>46204</v>
      </c>
      <c r="B329" t="s">
        <v>9</v>
      </c>
      <c r="C329">
        <v>-100</v>
      </c>
      <c r="D329">
        <v>1.1595485000000001</v>
      </c>
    </row>
    <row r="330" spans="1:5" x14ac:dyDescent="0.2">
      <c r="A330" s="1">
        <v>46235</v>
      </c>
      <c r="B330">
        <v>2</v>
      </c>
      <c r="C330">
        <v>7150</v>
      </c>
      <c r="D330">
        <v>1.1957111</v>
      </c>
      <c r="E330">
        <f>8000/D330</f>
        <v>6690.5793548291049</v>
      </c>
    </row>
    <row r="331" spans="1:5" x14ac:dyDescent="0.2">
      <c r="A331" s="1">
        <v>46235</v>
      </c>
      <c r="B331">
        <v>1</v>
      </c>
      <c r="C331">
        <v>2780</v>
      </c>
      <c r="D331">
        <v>1.1957111</v>
      </c>
    </row>
    <row r="332" spans="1:5" x14ac:dyDescent="0.2">
      <c r="A332" s="1">
        <v>46235</v>
      </c>
      <c r="B332">
        <v>3</v>
      </c>
      <c r="C332">
        <v>10606</v>
      </c>
      <c r="D332">
        <v>1.1957111</v>
      </c>
    </row>
    <row r="333" spans="1:5" x14ac:dyDescent="0.2">
      <c r="A333" s="1">
        <v>46235</v>
      </c>
      <c r="B333" t="s">
        <v>7</v>
      </c>
      <c r="C333">
        <f>13457+5640+3995+7000+4952.92+5095+8739+8500+4591+4000+3500+2000+2000+3000+2500+4241.33+2000+1044+2202+2042+3092.97+5305.84+4219+1981.3+2253.83+3615.98+5093.5+5083.6+4627.6+5179.44+6719.31+4852.1+6001+5935.32+5821.52+5174.428+6690.579</f>
        <v>172146.56700000001</v>
      </c>
      <c r="D333">
        <v>1.1957111</v>
      </c>
    </row>
    <row r="334" spans="1:5" x14ac:dyDescent="0.2">
      <c r="A334" s="1">
        <v>46235</v>
      </c>
      <c r="B334" t="s">
        <v>8</v>
      </c>
      <c r="C334">
        <f>+-C333</f>
        <v>-172146.56700000001</v>
      </c>
      <c r="D334">
        <v>1.1957111</v>
      </c>
    </row>
    <row r="335" spans="1:5" x14ac:dyDescent="0.2">
      <c r="A335" s="1">
        <v>46235</v>
      </c>
      <c r="B335">
        <v>4</v>
      </c>
      <c r="C335">
        <v>631</v>
      </c>
      <c r="D335">
        <v>1.1957111</v>
      </c>
    </row>
    <row r="336" spans="1:5" x14ac:dyDescent="0.2">
      <c r="A336" s="1">
        <v>46235</v>
      </c>
      <c r="B336" t="s">
        <v>9</v>
      </c>
      <c r="C336">
        <v>-100</v>
      </c>
      <c r="D336">
        <v>1.1957111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7E1F-D2C8-4930-B940-DE792253A3BE}">
  <sheetPr codeName="Sheet2"/>
  <dimension ref="A1:F248"/>
  <sheetViews>
    <sheetView topLeftCell="A222" workbookViewId="0">
      <selection activeCell="C245" sqref="C245"/>
    </sheetView>
  </sheetViews>
  <sheetFormatPr defaultRowHeight="14.25" x14ac:dyDescent="0.2"/>
  <cols>
    <col min="1" max="1" width="11.6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43723</v>
      </c>
      <c r="B2">
        <v>1</v>
      </c>
      <c r="C2">
        <v>1009</v>
      </c>
      <c r="D2">
        <v>6.07</v>
      </c>
    </row>
    <row r="3" spans="1:4" x14ac:dyDescent="0.2">
      <c r="A3" s="1">
        <v>43723</v>
      </c>
      <c r="B3">
        <v>2</v>
      </c>
      <c r="C3">
        <v>0</v>
      </c>
      <c r="D3">
        <v>6.07</v>
      </c>
    </row>
    <row r="4" spans="1:4" x14ac:dyDescent="0.2">
      <c r="A4" s="1">
        <v>44118</v>
      </c>
      <c r="B4">
        <v>1</v>
      </c>
      <c r="C4">
        <v>1125</v>
      </c>
      <c r="D4">
        <v>6.07</v>
      </c>
    </row>
    <row r="5" spans="1:4" x14ac:dyDescent="0.2">
      <c r="A5" s="1">
        <v>44118</v>
      </c>
      <c r="B5">
        <v>2</v>
      </c>
      <c r="C5">
        <v>0</v>
      </c>
      <c r="D5">
        <v>6.07</v>
      </c>
    </row>
    <row r="6" spans="1:4" x14ac:dyDescent="0.2">
      <c r="A6" s="1">
        <v>44294</v>
      </c>
      <c r="B6">
        <v>1</v>
      </c>
      <c r="C6">
        <v>1270</v>
      </c>
      <c r="D6">
        <v>6.07</v>
      </c>
    </row>
    <row r="7" spans="1:4" x14ac:dyDescent="0.2">
      <c r="A7" s="1">
        <v>44435</v>
      </c>
      <c r="B7">
        <v>1</v>
      </c>
      <c r="C7">
        <v>1651</v>
      </c>
      <c r="D7">
        <v>6.07</v>
      </c>
    </row>
    <row r="8" spans="1:4" x14ac:dyDescent="0.2">
      <c r="A8" s="1">
        <v>44435</v>
      </c>
      <c r="B8">
        <v>2</v>
      </c>
      <c r="C8">
        <v>19</v>
      </c>
      <c r="D8">
        <v>6.07</v>
      </c>
    </row>
    <row r="9" spans="1:4" x14ac:dyDescent="0.2">
      <c r="A9" s="1">
        <v>44479</v>
      </c>
      <c r="B9">
        <v>2</v>
      </c>
      <c r="C9">
        <v>56</v>
      </c>
      <c r="D9">
        <v>5.85</v>
      </c>
    </row>
    <row r="10" spans="1:4" x14ac:dyDescent="0.2">
      <c r="A10" s="1">
        <v>44479</v>
      </c>
      <c r="B10">
        <v>1</v>
      </c>
      <c r="C10">
        <v>1734</v>
      </c>
      <c r="D10">
        <v>5.85</v>
      </c>
    </row>
    <row r="11" spans="1:4" x14ac:dyDescent="0.2">
      <c r="A11" s="1">
        <v>44510</v>
      </c>
      <c r="B11">
        <v>2</v>
      </c>
      <c r="C11">
        <v>86</v>
      </c>
      <c r="D11">
        <v>7.9</v>
      </c>
    </row>
    <row r="12" spans="1:4" x14ac:dyDescent="0.2">
      <c r="A12" s="1">
        <v>44510</v>
      </c>
      <c r="B12">
        <v>1</v>
      </c>
      <c r="C12">
        <v>1820</v>
      </c>
      <c r="D12">
        <v>7.9</v>
      </c>
    </row>
    <row r="13" spans="1:4" x14ac:dyDescent="0.2">
      <c r="A13" s="1">
        <v>44540</v>
      </c>
      <c r="B13">
        <v>2</v>
      </c>
      <c r="C13">
        <v>120</v>
      </c>
      <c r="D13">
        <v>7.9</v>
      </c>
    </row>
    <row r="14" spans="1:4" x14ac:dyDescent="0.2">
      <c r="A14" s="1">
        <v>44540</v>
      </c>
      <c r="B14">
        <v>1</v>
      </c>
      <c r="C14">
        <v>1920</v>
      </c>
      <c r="D14">
        <v>7.9</v>
      </c>
    </row>
    <row r="15" spans="1:4" x14ac:dyDescent="0.2">
      <c r="A15" s="1">
        <v>44566</v>
      </c>
      <c r="B15">
        <v>2</v>
      </c>
      <c r="C15">
        <v>276</v>
      </c>
      <c r="D15">
        <v>7.9</v>
      </c>
    </row>
    <row r="16" spans="1:4" x14ac:dyDescent="0.2">
      <c r="A16" s="1">
        <v>44566</v>
      </c>
      <c r="B16">
        <v>1</v>
      </c>
      <c r="C16">
        <v>2038</v>
      </c>
      <c r="D16">
        <v>7.9</v>
      </c>
    </row>
    <row r="17" spans="1:4" x14ac:dyDescent="0.2">
      <c r="A17" s="1">
        <v>44599</v>
      </c>
      <c r="B17">
        <v>2</v>
      </c>
      <c r="C17">
        <v>374</v>
      </c>
      <c r="D17">
        <v>7.9</v>
      </c>
    </row>
    <row r="18" spans="1:4" x14ac:dyDescent="0.2">
      <c r="A18" s="1">
        <v>44599</v>
      </c>
      <c r="B18">
        <v>1</v>
      </c>
      <c r="C18">
        <v>2188</v>
      </c>
      <c r="D18">
        <v>7.9</v>
      </c>
    </row>
    <row r="19" spans="1:4" x14ac:dyDescent="0.2">
      <c r="A19" s="1">
        <v>44621</v>
      </c>
      <c r="B19">
        <v>2</v>
      </c>
      <c r="C19">
        <v>429</v>
      </c>
      <c r="D19">
        <v>7.9</v>
      </c>
    </row>
    <row r="20" spans="1:4" x14ac:dyDescent="0.2">
      <c r="A20" s="1">
        <v>44621</v>
      </c>
      <c r="B20">
        <v>1</v>
      </c>
      <c r="C20">
        <v>2292</v>
      </c>
      <c r="D20">
        <v>7.9</v>
      </c>
    </row>
    <row r="21" spans="1:4" x14ac:dyDescent="0.2">
      <c r="A21" s="1">
        <v>44652</v>
      </c>
      <c r="B21">
        <v>2</v>
      </c>
      <c r="C21">
        <v>454</v>
      </c>
      <c r="D21">
        <v>7.9</v>
      </c>
    </row>
    <row r="22" spans="1:4" x14ac:dyDescent="0.2">
      <c r="A22" s="1">
        <v>44652</v>
      </c>
      <c r="B22">
        <v>1</v>
      </c>
      <c r="C22">
        <v>2401</v>
      </c>
      <c r="D22">
        <v>7.9</v>
      </c>
    </row>
    <row r="23" spans="1:4" x14ac:dyDescent="0.2">
      <c r="A23" s="1">
        <v>44682</v>
      </c>
      <c r="B23">
        <v>1</v>
      </c>
      <c r="C23">
        <v>2415</v>
      </c>
      <c r="D23">
        <v>7.9</v>
      </c>
    </row>
    <row r="24" spans="1:4" x14ac:dyDescent="0.2">
      <c r="A24" s="1">
        <v>44682</v>
      </c>
      <c r="B24">
        <v>2</v>
      </c>
      <c r="C24">
        <v>488</v>
      </c>
      <c r="D24">
        <v>7.9</v>
      </c>
    </row>
    <row r="25" spans="1:4" x14ac:dyDescent="0.2">
      <c r="A25" s="1">
        <v>44713</v>
      </c>
      <c r="B25">
        <v>1</v>
      </c>
      <c r="C25">
        <v>2478</v>
      </c>
      <c r="D25">
        <f t="shared" ref="D25:D66" si="0">7.9+1.4</f>
        <v>9.3000000000000007</v>
      </c>
    </row>
    <row r="26" spans="1:4" x14ac:dyDescent="0.2">
      <c r="A26" s="1">
        <v>44713</v>
      </c>
      <c r="B26">
        <v>2</v>
      </c>
      <c r="C26">
        <v>565</v>
      </c>
      <c r="D26">
        <f t="shared" si="0"/>
        <v>9.3000000000000007</v>
      </c>
    </row>
    <row r="27" spans="1:4" x14ac:dyDescent="0.2">
      <c r="A27" s="1">
        <v>44743</v>
      </c>
      <c r="B27">
        <v>1</v>
      </c>
      <c r="C27">
        <v>2530</v>
      </c>
      <c r="D27">
        <f t="shared" si="0"/>
        <v>9.3000000000000007</v>
      </c>
    </row>
    <row r="28" spans="1:4" x14ac:dyDescent="0.2">
      <c r="A28" s="1">
        <v>44743</v>
      </c>
      <c r="B28">
        <v>2</v>
      </c>
      <c r="C28">
        <v>636</v>
      </c>
      <c r="D28">
        <f t="shared" si="0"/>
        <v>9.3000000000000007</v>
      </c>
    </row>
    <row r="29" spans="1:4" x14ac:dyDescent="0.2">
      <c r="A29" s="1">
        <v>44774</v>
      </c>
      <c r="B29">
        <v>1</v>
      </c>
      <c r="C29">
        <v>2592</v>
      </c>
      <c r="D29">
        <f t="shared" si="0"/>
        <v>9.3000000000000007</v>
      </c>
    </row>
    <row r="30" spans="1:4" x14ac:dyDescent="0.2">
      <c r="A30" s="1">
        <v>44774</v>
      </c>
      <c r="B30">
        <v>2</v>
      </c>
      <c r="C30">
        <v>757</v>
      </c>
      <c r="D30">
        <f t="shared" si="0"/>
        <v>9.3000000000000007</v>
      </c>
    </row>
    <row r="31" spans="1:4" x14ac:dyDescent="0.2">
      <c r="A31" s="1">
        <v>44805</v>
      </c>
      <c r="B31">
        <v>1</v>
      </c>
      <c r="C31">
        <v>2641</v>
      </c>
      <c r="D31">
        <f t="shared" si="0"/>
        <v>9.3000000000000007</v>
      </c>
    </row>
    <row r="32" spans="1:4" x14ac:dyDescent="0.2">
      <c r="A32" s="1">
        <v>44805</v>
      </c>
      <c r="B32">
        <v>2</v>
      </c>
      <c r="C32">
        <v>831</v>
      </c>
      <c r="D32">
        <f t="shared" si="0"/>
        <v>9.3000000000000007</v>
      </c>
    </row>
    <row r="33" spans="1:4" x14ac:dyDescent="0.2">
      <c r="A33" s="1">
        <v>44835</v>
      </c>
      <c r="B33">
        <v>1</v>
      </c>
      <c r="C33">
        <v>2681</v>
      </c>
      <c r="D33">
        <f t="shared" si="0"/>
        <v>9.3000000000000007</v>
      </c>
    </row>
    <row r="34" spans="1:4" x14ac:dyDescent="0.2">
      <c r="A34" s="1">
        <v>44835</v>
      </c>
      <c r="B34">
        <v>2</v>
      </c>
      <c r="C34">
        <v>927</v>
      </c>
      <c r="D34">
        <f t="shared" si="0"/>
        <v>9.3000000000000007</v>
      </c>
    </row>
    <row r="35" spans="1:4" x14ac:dyDescent="0.2">
      <c r="A35" s="1">
        <v>44866</v>
      </c>
      <c r="B35">
        <v>1</v>
      </c>
      <c r="C35">
        <v>2729</v>
      </c>
      <c r="D35">
        <f t="shared" si="0"/>
        <v>9.3000000000000007</v>
      </c>
    </row>
    <row r="36" spans="1:4" x14ac:dyDescent="0.2">
      <c r="A36" s="1">
        <v>44866</v>
      </c>
      <c r="B36">
        <v>2</v>
      </c>
      <c r="C36">
        <v>988</v>
      </c>
      <c r="D36">
        <f t="shared" si="0"/>
        <v>9.3000000000000007</v>
      </c>
    </row>
    <row r="37" spans="1:4" x14ac:dyDescent="0.2">
      <c r="A37" s="1">
        <v>44896</v>
      </c>
      <c r="B37">
        <v>1</v>
      </c>
      <c r="C37">
        <v>2828</v>
      </c>
      <c r="D37">
        <f t="shared" si="0"/>
        <v>9.3000000000000007</v>
      </c>
    </row>
    <row r="38" spans="1:4" x14ac:dyDescent="0.2">
      <c r="A38" s="1">
        <v>44896</v>
      </c>
      <c r="B38">
        <v>2</v>
      </c>
      <c r="C38">
        <v>1007</v>
      </c>
      <c r="D38">
        <f t="shared" si="0"/>
        <v>9.3000000000000007</v>
      </c>
    </row>
    <row r="39" spans="1:4" x14ac:dyDescent="0.2">
      <c r="A39" s="1">
        <v>44927</v>
      </c>
      <c r="B39">
        <v>2</v>
      </c>
      <c r="C39">
        <v>1031</v>
      </c>
      <c r="D39">
        <f t="shared" si="0"/>
        <v>9.3000000000000007</v>
      </c>
    </row>
    <row r="40" spans="1:4" x14ac:dyDescent="0.2">
      <c r="A40" s="1">
        <v>44927</v>
      </c>
      <c r="B40">
        <v>1</v>
      </c>
      <c r="C40">
        <v>2907</v>
      </c>
      <c r="D40">
        <f t="shared" si="0"/>
        <v>9.3000000000000007</v>
      </c>
    </row>
    <row r="41" spans="1:4" x14ac:dyDescent="0.2">
      <c r="A41" s="1">
        <v>44958</v>
      </c>
      <c r="B41">
        <v>2</v>
      </c>
      <c r="C41">
        <v>1051</v>
      </c>
      <c r="D41">
        <f t="shared" si="0"/>
        <v>9.3000000000000007</v>
      </c>
    </row>
    <row r="42" spans="1:4" x14ac:dyDescent="0.2">
      <c r="A42" s="1">
        <v>44958</v>
      </c>
      <c r="B42">
        <v>1</v>
      </c>
      <c r="C42">
        <v>2982</v>
      </c>
      <c r="D42">
        <f t="shared" si="0"/>
        <v>9.3000000000000007</v>
      </c>
    </row>
    <row r="43" spans="1:4" x14ac:dyDescent="0.2">
      <c r="A43" s="1">
        <v>44958</v>
      </c>
      <c r="B43" t="s">
        <v>10</v>
      </c>
      <c r="C43">
        <v>37.5</v>
      </c>
      <c r="D43">
        <f t="shared" si="0"/>
        <v>9.3000000000000007</v>
      </c>
    </row>
    <row r="44" spans="1:4" x14ac:dyDescent="0.2">
      <c r="A44" s="1">
        <v>44958</v>
      </c>
      <c r="B44" t="s">
        <v>11</v>
      </c>
      <c r="C44">
        <v>-37.5</v>
      </c>
      <c r="D44">
        <f t="shared" si="0"/>
        <v>9.3000000000000007</v>
      </c>
    </row>
    <row r="45" spans="1:4" x14ac:dyDescent="0.2">
      <c r="A45" s="1">
        <v>44986</v>
      </c>
      <c r="B45">
        <v>1</v>
      </c>
      <c r="C45">
        <v>3053</v>
      </c>
      <c r="D45">
        <f t="shared" si="0"/>
        <v>9.3000000000000007</v>
      </c>
    </row>
    <row r="46" spans="1:4" x14ac:dyDescent="0.2">
      <c r="A46" s="1">
        <v>44986</v>
      </c>
      <c r="B46">
        <v>2</v>
      </c>
      <c r="C46">
        <v>1079</v>
      </c>
      <c r="D46">
        <f t="shared" si="0"/>
        <v>9.3000000000000007</v>
      </c>
    </row>
    <row r="47" spans="1:4" x14ac:dyDescent="0.2">
      <c r="A47" s="1">
        <v>44986</v>
      </c>
      <c r="B47" t="s">
        <v>10</v>
      </c>
      <c r="C47">
        <v>73</v>
      </c>
      <c r="D47">
        <f t="shared" si="0"/>
        <v>9.3000000000000007</v>
      </c>
    </row>
    <row r="48" spans="1:4" x14ac:dyDescent="0.2">
      <c r="A48" s="1">
        <v>44986</v>
      </c>
      <c r="B48" t="s">
        <v>11</v>
      </c>
      <c r="C48">
        <f>+-1*C47</f>
        <v>-73</v>
      </c>
      <c r="D48">
        <f t="shared" si="0"/>
        <v>9.3000000000000007</v>
      </c>
    </row>
    <row r="49" spans="1:4" x14ac:dyDescent="0.2">
      <c r="A49" s="1">
        <v>45017</v>
      </c>
      <c r="B49">
        <v>1</v>
      </c>
      <c r="C49">
        <v>3153</v>
      </c>
      <c r="D49">
        <f t="shared" si="0"/>
        <v>9.3000000000000007</v>
      </c>
    </row>
    <row r="50" spans="1:4" x14ac:dyDescent="0.2">
      <c r="A50" s="1">
        <v>45017</v>
      </c>
      <c r="B50">
        <v>2</v>
      </c>
      <c r="C50">
        <v>1097</v>
      </c>
      <c r="D50">
        <f t="shared" si="0"/>
        <v>9.3000000000000007</v>
      </c>
    </row>
    <row r="51" spans="1:4" x14ac:dyDescent="0.2">
      <c r="A51" s="1">
        <v>45017</v>
      </c>
      <c r="B51" t="s">
        <v>10</v>
      </c>
      <c r="C51">
        <f>73+80</f>
        <v>153</v>
      </c>
      <c r="D51">
        <f t="shared" si="0"/>
        <v>9.3000000000000007</v>
      </c>
    </row>
    <row r="52" spans="1:4" x14ac:dyDescent="0.2">
      <c r="A52" s="1">
        <v>45017</v>
      </c>
      <c r="B52" t="s">
        <v>11</v>
      </c>
      <c r="C52">
        <f>+-1*C51</f>
        <v>-153</v>
      </c>
      <c r="D52">
        <f t="shared" si="0"/>
        <v>9.3000000000000007</v>
      </c>
    </row>
    <row r="53" spans="1:4" x14ac:dyDescent="0.2">
      <c r="A53" s="1">
        <v>45047</v>
      </c>
      <c r="B53">
        <v>1</v>
      </c>
      <c r="C53">
        <v>3221</v>
      </c>
      <c r="D53">
        <f t="shared" si="0"/>
        <v>9.3000000000000007</v>
      </c>
    </row>
    <row r="54" spans="1:4" x14ac:dyDescent="0.2">
      <c r="A54" s="1">
        <v>45047</v>
      </c>
      <c r="B54">
        <v>2</v>
      </c>
      <c r="C54">
        <v>1119</v>
      </c>
      <c r="D54">
        <f t="shared" si="0"/>
        <v>9.3000000000000007</v>
      </c>
    </row>
    <row r="55" spans="1:4" x14ac:dyDescent="0.2">
      <c r="A55" s="1">
        <v>45047</v>
      </c>
      <c r="B55" t="s">
        <v>10</v>
      </c>
      <c r="C55">
        <f>73+80</f>
        <v>153</v>
      </c>
      <c r="D55">
        <f t="shared" si="0"/>
        <v>9.3000000000000007</v>
      </c>
    </row>
    <row r="56" spans="1:4" x14ac:dyDescent="0.2">
      <c r="A56" s="1">
        <v>45047</v>
      </c>
      <c r="B56" t="s">
        <v>11</v>
      </c>
      <c r="C56">
        <f>+-1*C55</f>
        <v>-153</v>
      </c>
      <c r="D56">
        <f t="shared" si="0"/>
        <v>9.3000000000000007</v>
      </c>
    </row>
    <row r="57" spans="1:4" x14ac:dyDescent="0.2">
      <c r="A57" s="1">
        <v>45078</v>
      </c>
      <c r="B57">
        <v>1</v>
      </c>
      <c r="C57">
        <v>3341</v>
      </c>
      <c r="D57">
        <f t="shared" si="0"/>
        <v>9.3000000000000007</v>
      </c>
    </row>
    <row r="58" spans="1:4" x14ac:dyDescent="0.2">
      <c r="A58" s="1">
        <v>45078</v>
      </c>
      <c r="B58">
        <v>2</v>
      </c>
      <c r="C58">
        <v>1162</v>
      </c>
      <c r="D58">
        <f t="shared" si="0"/>
        <v>9.3000000000000007</v>
      </c>
    </row>
    <row r="59" spans="1:4" x14ac:dyDescent="0.2">
      <c r="A59" s="1">
        <v>45078</v>
      </c>
      <c r="B59" t="s">
        <v>10</v>
      </c>
      <c r="C59">
        <f>73+80+60</f>
        <v>213</v>
      </c>
      <c r="D59">
        <f t="shared" si="0"/>
        <v>9.3000000000000007</v>
      </c>
    </row>
    <row r="60" spans="1:4" x14ac:dyDescent="0.2">
      <c r="A60" s="1">
        <v>45078</v>
      </c>
      <c r="B60" t="s">
        <v>11</v>
      </c>
      <c r="C60">
        <f>+-1*C59</f>
        <v>-213</v>
      </c>
      <c r="D60">
        <f t="shared" si="0"/>
        <v>9.3000000000000007</v>
      </c>
    </row>
    <row r="61" spans="1:4" x14ac:dyDescent="0.2">
      <c r="A61" s="1">
        <v>45108</v>
      </c>
      <c r="B61">
        <v>1</v>
      </c>
      <c r="C61">
        <v>3460</v>
      </c>
      <c r="D61">
        <f t="shared" si="0"/>
        <v>9.3000000000000007</v>
      </c>
    </row>
    <row r="62" spans="1:4" x14ac:dyDescent="0.2">
      <c r="A62" s="1">
        <v>45108</v>
      </c>
      <c r="B62">
        <v>2</v>
      </c>
      <c r="C62">
        <v>1202</v>
      </c>
      <c r="D62">
        <f t="shared" si="0"/>
        <v>9.3000000000000007</v>
      </c>
    </row>
    <row r="63" spans="1:4" x14ac:dyDescent="0.2">
      <c r="A63" s="1">
        <v>45108</v>
      </c>
      <c r="B63" t="s">
        <v>10</v>
      </c>
      <c r="C63">
        <f>73+80+60+50</f>
        <v>263</v>
      </c>
      <c r="D63">
        <f t="shared" si="0"/>
        <v>9.3000000000000007</v>
      </c>
    </row>
    <row r="64" spans="1:4" x14ac:dyDescent="0.2">
      <c r="A64" s="1">
        <v>45108</v>
      </c>
      <c r="B64" t="s">
        <v>11</v>
      </c>
      <c r="C64">
        <f>+-1*C63</f>
        <v>-263</v>
      </c>
      <c r="D64">
        <f t="shared" si="0"/>
        <v>9.3000000000000007</v>
      </c>
    </row>
    <row r="65" spans="1:4" x14ac:dyDescent="0.2">
      <c r="A65" s="1">
        <v>45139</v>
      </c>
      <c r="B65">
        <v>1</v>
      </c>
      <c r="C65">
        <v>3530</v>
      </c>
      <c r="D65">
        <f t="shared" si="0"/>
        <v>9.3000000000000007</v>
      </c>
    </row>
    <row r="66" spans="1:4" x14ac:dyDescent="0.2">
      <c r="A66" s="1">
        <v>45139</v>
      </c>
      <c r="B66">
        <v>2</v>
      </c>
      <c r="C66">
        <v>1270</v>
      </c>
      <c r="D66">
        <f t="shared" si="0"/>
        <v>9.3000000000000007</v>
      </c>
    </row>
    <row r="67" spans="1:4" x14ac:dyDescent="0.2">
      <c r="A67" s="1">
        <v>45139</v>
      </c>
      <c r="B67" t="s">
        <v>10</v>
      </c>
      <c r="C67">
        <f>73+80+60+50</f>
        <v>263</v>
      </c>
      <c r="D67">
        <f t="shared" ref="D67:D120" si="1">7.9+1.4</f>
        <v>9.3000000000000007</v>
      </c>
    </row>
    <row r="68" spans="1:4" x14ac:dyDescent="0.2">
      <c r="A68" s="1">
        <v>45139</v>
      </c>
      <c r="B68" t="s">
        <v>11</v>
      </c>
      <c r="C68">
        <f>+-1*C67</f>
        <v>-263</v>
      </c>
      <c r="D68">
        <f t="shared" si="1"/>
        <v>9.3000000000000007</v>
      </c>
    </row>
    <row r="69" spans="1:4" x14ac:dyDescent="0.2">
      <c r="A69" s="1">
        <v>45170</v>
      </c>
      <c r="B69">
        <v>1</v>
      </c>
      <c r="C69">
        <v>3695</v>
      </c>
      <c r="D69">
        <f t="shared" si="1"/>
        <v>9.3000000000000007</v>
      </c>
    </row>
    <row r="70" spans="1:4" x14ac:dyDescent="0.2">
      <c r="A70" s="1">
        <v>45170</v>
      </c>
      <c r="B70">
        <v>2</v>
      </c>
      <c r="C70">
        <v>1295</v>
      </c>
      <c r="D70">
        <f t="shared" si="1"/>
        <v>9.3000000000000007</v>
      </c>
    </row>
    <row r="71" spans="1:4" x14ac:dyDescent="0.2">
      <c r="A71" s="1">
        <v>45170</v>
      </c>
      <c r="B71" t="s">
        <v>10</v>
      </c>
      <c r="C71">
        <f>73+80+60+50+100</f>
        <v>363</v>
      </c>
      <c r="D71">
        <f t="shared" si="1"/>
        <v>9.3000000000000007</v>
      </c>
    </row>
    <row r="72" spans="1:4" x14ac:dyDescent="0.2">
      <c r="A72" s="1">
        <v>45170</v>
      </c>
      <c r="B72" t="s">
        <v>11</v>
      </c>
      <c r="C72">
        <f>+-1*C71</f>
        <v>-363</v>
      </c>
      <c r="D72">
        <f t="shared" si="1"/>
        <v>9.3000000000000007</v>
      </c>
    </row>
    <row r="73" spans="1:4" x14ac:dyDescent="0.2">
      <c r="A73" s="1">
        <v>45200</v>
      </c>
      <c r="B73">
        <v>1</v>
      </c>
      <c r="C73">
        <v>3848</v>
      </c>
      <c r="D73">
        <f t="shared" si="1"/>
        <v>9.3000000000000007</v>
      </c>
    </row>
    <row r="74" spans="1:4" x14ac:dyDescent="0.2">
      <c r="A74" s="1">
        <v>45200</v>
      </c>
      <c r="B74">
        <v>2</v>
      </c>
      <c r="C74">
        <v>1331</v>
      </c>
      <c r="D74">
        <f t="shared" si="1"/>
        <v>9.3000000000000007</v>
      </c>
    </row>
    <row r="75" spans="1:4" x14ac:dyDescent="0.2">
      <c r="A75" s="1">
        <v>45200</v>
      </c>
      <c r="B75" t="s">
        <v>10</v>
      </c>
      <c r="C75">
        <f>73+80+60+50+100+100</f>
        <v>463</v>
      </c>
      <c r="D75">
        <f t="shared" si="1"/>
        <v>9.3000000000000007</v>
      </c>
    </row>
    <row r="76" spans="1:4" x14ac:dyDescent="0.2">
      <c r="A76" s="1">
        <v>45200</v>
      </c>
      <c r="B76" t="s">
        <v>11</v>
      </c>
      <c r="C76">
        <f>+-1*C75</f>
        <v>-463</v>
      </c>
      <c r="D76">
        <f t="shared" si="1"/>
        <v>9.3000000000000007</v>
      </c>
    </row>
    <row r="77" spans="1:4" x14ac:dyDescent="0.2">
      <c r="A77" s="1">
        <v>45231</v>
      </c>
      <c r="B77">
        <v>1</v>
      </c>
      <c r="C77">
        <v>3961</v>
      </c>
      <c r="D77">
        <f t="shared" si="1"/>
        <v>9.3000000000000007</v>
      </c>
    </row>
    <row r="78" spans="1:4" x14ac:dyDescent="0.2">
      <c r="A78" s="1">
        <v>45231</v>
      </c>
      <c r="B78">
        <v>2</v>
      </c>
      <c r="C78">
        <v>1366</v>
      </c>
      <c r="D78">
        <f t="shared" si="1"/>
        <v>9.3000000000000007</v>
      </c>
    </row>
    <row r="79" spans="1:4" x14ac:dyDescent="0.2">
      <c r="A79" s="1">
        <v>45231</v>
      </c>
      <c r="B79" t="s">
        <v>10</v>
      </c>
      <c r="C79">
        <f>73+80+60+50+100+100+50</f>
        <v>513</v>
      </c>
      <c r="D79">
        <f t="shared" si="1"/>
        <v>9.3000000000000007</v>
      </c>
    </row>
    <row r="80" spans="1:4" x14ac:dyDescent="0.2">
      <c r="A80" s="1">
        <v>45231</v>
      </c>
      <c r="B80" t="s">
        <v>11</v>
      </c>
      <c r="C80">
        <f>+-1*C79</f>
        <v>-513</v>
      </c>
      <c r="D80">
        <f t="shared" si="1"/>
        <v>9.3000000000000007</v>
      </c>
    </row>
    <row r="81" spans="1:4" x14ac:dyDescent="0.2">
      <c r="A81" s="1">
        <v>45261</v>
      </c>
      <c r="B81">
        <v>1</v>
      </c>
      <c r="C81">
        <v>4082</v>
      </c>
      <c r="D81">
        <f t="shared" si="1"/>
        <v>9.3000000000000007</v>
      </c>
    </row>
    <row r="82" spans="1:4" x14ac:dyDescent="0.2">
      <c r="A82" s="1">
        <v>45261</v>
      </c>
      <c r="B82">
        <v>2</v>
      </c>
      <c r="C82">
        <v>1392</v>
      </c>
      <c r="D82">
        <f t="shared" si="1"/>
        <v>9.3000000000000007</v>
      </c>
    </row>
    <row r="83" spans="1:4" x14ac:dyDescent="0.2">
      <c r="A83" s="1">
        <v>45261</v>
      </c>
      <c r="B83" t="s">
        <v>10</v>
      </c>
      <c r="C83">
        <f>73+80+60+50+100+100+50+60</f>
        <v>573</v>
      </c>
      <c r="D83">
        <f t="shared" si="1"/>
        <v>9.3000000000000007</v>
      </c>
    </row>
    <row r="84" spans="1:4" x14ac:dyDescent="0.2">
      <c r="A84" s="1">
        <v>45261</v>
      </c>
      <c r="B84" t="s">
        <v>11</v>
      </c>
      <c r="C84">
        <f>+-1*C83</f>
        <v>-573</v>
      </c>
      <c r="D84">
        <f t="shared" si="1"/>
        <v>9.3000000000000007</v>
      </c>
    </row>
    <row r="85" spans="1:4" x14ac:dyDescent="0.2">
      <c r="A85" s="1">
        <v>45292</v>
      </c>
      <c r="B85">
        <v>1</v>
      </c>
      <c r="C85">
        <v>4222</v>
      </c>
      <c r="D85">
        <f t="shared" si="1"/>
        <v>9.3000000000000007</v>
      </c>
    </row>
    <row r="86" spans="1:4" x14ac:dyDescent="0.2">
      <c r="A86" s="1">
        <v>45292</v>
      </c>
      <c r="B86">
        <v>2</v>
      </c>
      <c r="C86">
        <v>1424</v>
      </c>
      <c r="D86">
        <f t="shared" si="1"/>
        <v>9.3000000000000007</v>
      </c>
    </row>
    <row r="87" spans="1:4" x14ac:dyDescent="0.2">
      <c r="A87" s="1">
        <v>45292</v>
      </c>
      <c r="B87" t="s">
        <v>10</v>
      </c>
      <c r="C87">
        <f>73+80+60+50+100+100+50+60+45</f>
        <v>618</v>
      </c>
      <c r="D87">
        <f t="shared" si="1"/>
        <v>9.3000000000000007</v>
      </c>
    </row>
    <row r="88" spans="1:4" x14ac:dyDescent="0.2">
      <c r="A88" s="1">
        <v>45292</v>
      </c>
      <c r="B88" t="s">
        <v>11</v>
      </c>
      <c r="C88">
        <f>+-1*C87</f>
        <v>-618</v>
      </c>
      <c r="D88">
        <f t="shared" si="1"/>
        <v>9.3000000000000007</v>
      </c>
    </row>
    <row r="89" spans="1:4" x14ac:dyDescent="0.2">
      <c r="A89" s="1">
        <v>45323</v>
      </c>
      <c r="B89">
        <v>1</v>
      </c>
      <c r="C89">
        <v>4452</v>
      </c>
      <c r="D89">
        <f t="shared" si="1"/>
        <v>9.3000000000000007</v>
      </c>
    </row>
    <row r="90" spans="1:4" x14ac:dyDescent="0.2">
      <c r="A90" s="1">
        <v>45323</v>
      </c>
      <c r="B90">
        <v>2</v>
      </c>
      <c r="C90">
        <v>1454</v>
      </c>
      <c r="D90">
        <f t="shared" si="1"/>
        <v>9.3000000000000007</v>
      </c>
    </row>
    <row r="91" spans="1:4" x14ac:dyDescent="0.2">
      <c r="A91" s="1">
        <v>45323</v>
      </c>
      <c r="B91" t="s">
        <v>10</v>
      </c>
      <c r="C91">
        <f>73+80+60+50+100+100+50+60+45+100</f>
        <v>718</v>
      </c>
      <c r="D91">
        <f t="shared" si="1"/>
        <v>9.3000000000000007</v>
      </c>
    </row>
    <row r="92" spans="1:4" x14ac:dyDescent="0.2">
      <c r="A92" s="1">
        <v>45323</v>
      </c>
      <c r="B92" t="s">
        <v>11</v>
      </c>
      <c r="C92">
        <f>+-1*C91</f>
        <v>-718</v>
      </c>
      <c r="D92">
        <f t="shared" si="1"/>
        <v>9.3000000000000007</v>
      </c>
    </row>
    <row r="93" spans="1:4" x14ac:dyDescent="0.2">
      <c r="A93" s="1">
        <v>45352</v>
      </c>
      <c r="B93">
        <v>1</v>
      </c>
      <c r="C93">
        <v>4838</v>
      </c>
      <c r="D93">
        <f t="shared" si="1"/>
        <v>9.3000000000000007</v>
      </c>
    </row>
    <row r="94" spans="1:4" x14ac:dyDescent="0.2">
      <c r="A94" s="1">
        <v>45352</v>
      </c>
      <c r="B94">
        <v>2</v>
      </c>
      <c r="C94">
        <v>1473</v>
      </c>
      <c r="D94">
        <f t="shared" si="1"/>
        <v>9.3000000000000007</v>
      </c>
    </row>
    <row r="95" spans="1:4" x14ac:dyDescent="0.2">
      <c r="A95" s="1">
        <v>45352</v>
      </c>
      <c r="B95" t="s">
        <v>10</v>
      </c>
      <c r="C95">
        <f>73+80+60+50+100+100+50+60+45+100+20</f>
        <v>738</v>
      </c>
      <c r="D95">
        <f t="shared" si="1"/>
        <v>9.3000000000000007</v>
      </c>
    </row>
    <row r="96" spans="1:4" x14ac:dyDescent="0.2">
      <c r="A96" s="1">
        <v>45352</v>
      </c>
      <c r="B96" t="s">
        <v>11</v>
      </c>
      <c r="C96">
        <f>+-1*C95</f>
        <v>-738</v>
      </c>
      <c r="D96">
        <f t="shared" si="1"/>
        <v>9.3000000000000007</v>
      </c>
    </row>
    <row r="97" spans="1:4" x14ac:dyDescent="0.2">
      <c r="A97" s="1">
        <v>45383</v>
      </c>
      <c r="B97">
        <v>1</v>
      </c>
      <c r="C97">
        <v>4984</v>
      </c>
      <c r="D97">
        <f t="shared" si="1"/>
        <v>9.3000000000000007</v>
      </c>
    </row>
    <row r="98" spans="1:4" x14ac:dyDescent="0.2">
      <c r="A98" s="1">
        <v>45383</v>
      </c>
      <c r="B98">
        <v>2</v>
      </c>
      <c r="C98">
        <v>1499</v>
      </c>
      <c r="D98">
        <f t="shared" si="1"/>
        <v>9.3000000000000007</v>
      </c>
    </row>
    <row r="99" spans="1:4" x14ac:dyDescent="0.2">
      <c r="A99" s="1">
        <v>45383</v>
      </c>
      <c r="B99" t="s">
        <v>10</v>
      </c>
      <c r="C99">
        <f>73+80+60+50+100+100+50+60+45+100+20+50</f>
        <v>788</v>
      </c>
      <c r="D99">
        <f t="shared" si="1"/>
        <v>9.3000000000000007</v>
      </c>
    </row>
    <row r="100" spans="1:4" x14ac:dyDescent="0.2">
      <c r="A100" s="1">
        <v>45383</v>
      </c>
      <c r="B100" t="s">
        <v>11</v>
      </c>
      <c r="C100">
        <f>+-1*C99</f>
        <v>-788</v>
      </c>
      <c r="D100">
        <f t="shared" si="1"/>
        <v>9.3000000000000007</v>
      </c>
    </row>
    <row r="101" spans="1:4" x14ac:dyDescent="0.2">
      <c r="A101" s="1">
        <v>45413</v>
      </c>
      <c r="B101">
        <v>1</v>
      </c>
      <c r="C101">
        <v>5060</v>
      </c>
      <c r="D101">
        <f t="shared" si="1"/>
        <v>9.3000000000000007</v>
      </c>
    </row>
    <row r="102" spans="1:4" x14ac:dyDescent="0.2">
      <c r="A102" s="1">
        <v>45413</v>
      </c>
      <c r="B102">
        <v>2</v>
      </c>
      <c r="C102">
        <v>1520</v>
      </c>
      <c r="D102">
        <f t="shared" si="1"/>
        <v>9.3000000000000007</v>
      </c>
    </row>
    <row r="103" spans="1:4" x14ac:dyDescent="0.2">
      <c r="A103" s="1">
        <v>45413</v>
      </c>
      <c r="B103" t="s">
        <v>10</v>
      </c>
      <c r="C103">
        <f>73+80+60+50+100+100+50+60+45+100+20+50+20</f>
        <v>808</v>
      </c>
      <c r="D103">
        <f t="shared" si="1"/>
        <v>9.3000000000000007</v>
      </c>
    </row>
    <row r="104" spans="1:4" x14ac:dyDescent="0.2">
      <c r="A104" s="1">
        <v>45413</v>
      </c>
      <c r="B104" t="s">
        <v>11</v>
      </c>
      <c r="C104">
        <f>+-1*C103</f>
        <v>-808</v>
      </c>
      <c r="D104">
        <f t="shared" si="1"/>
        <v>9.3000000000000007</v>
      </c>
    </row>
    <row r="105" spans="1:4" x14ac:dyDescent="0.2">
      <c r="A105" s="1">
        <v>45444</v>
      </c>
      <c r="B105">
        <v>1</v>
      </c>
      <c r="C105">
        <v>5163</v>
      </c>
      <c r="D105">
        <f t="shared" si="1"/>
        <v>9.3000000000000007</v>
      </c>
    </row>
    <row r="106" spans="1:4" x14ac:dyDescent="0.2">
      <c r="A106" s="1">
        <v>45444</v>
      </c>
      <c r="B106">
        <v>2</v>
      </c>
      <c r="C106">
        <v>1542</v>
      </c>
      <c r="D106">
        <f t="shared" si="1"/>
        <v>9.3000000000000007</v>
      </c>
    </row>
    <row r="107" spans="1:4" x14ac:dyDescent="0.2">
      <c r="A107" s="1">
        <v>45444</v>
      </c>
      <c r="B107" t="s">
        <v>10</v>
      </c>
      <c r="C107">
        <f>73+80+60+50+100+100+50+60+45+100+20+50+20+30</f>
        <v>838</v>
      </c>
      <c r="D107">
        <f t="shared" si="1"/>
        <v>9.3000000000000007</v>
      </c>
    </row>
    <row r="108" spans="1:4" x14ac:dyDescent="0.2">
      <c r="A108" s="1">
        <v>45444</v>
      </c>
      <c r="B108" t="s">
        <v>11</v>
      </c>
      <c r="C108">
        <f>+-1*C107</f>
        <v>-838</v>
      </c>
      <c r="D108">
        <f t="shared" si="1"/>
        <v>9.3000000000000007</v>
      </c>
    </row>
    <row r="109" spans="1:4" x14ac:dyDescent="0.2">
      <c r="A109" s="1">
        <v>45474</v>
      </c>
      <c r="B109">
        <v>1</v>
      </c>
      <c r="C109">
        <v>5375</v>
      </c>
      <c r="D109">
        <f t="shared" si="1"/>
        <v>9.3000000000000007</v>
      </c>
    </row>
    <row r="110" spans="1:4" x14ac:dyDescent="0.2">
      <c r="A110" s="1">
        <v>45474</v>
      </c>
      <c r="B110">
        <v>2</v>
      </c>
      <c r="C110">
        <v>1574</v>
      </c>
      <c r="D110">
        <f t="shared" si="1"/>
        <v>9.3000000000000007</v>
      </c>
    </row>
    <row r="111" spans="1:4" x14ac:dyDescent="0.2">
      <c r="A111" s="1">
        <v>45474</v>
      </c>
      <c r="B111" t="s">
        <v>10</v>
      </c>
      <c r="C111">
        <f>73+80+60+50+100+100+50+60+45+100+20+50+20+30+40</f>
        <v>878</v>
      </c>
      <c r="D111">
        <f t="shared" si="1"/>
        <v>9.3000000000000007</v>
      </c>
    </row>
    <row r="112" spans="1:4" x14ac:dyDescent="0.2">
      <c r="A112" s="1">
        <v>45474</v>
      </c>
      <c r="B112" t="s">
        <v>11</v>
      </c>
      <c r="C112">
        <f>+-1*C111</f>
        <v>-878</v>
      </c>
      <c r="D112">
        <f t="shared" si="1"/>
        <v>9.3000000000000007</v>
      </c>
    </row>
    <row r="113" spans="1:4" x14ac:dyDescent="0.2">
      <c r="A113" s="1">
        <v>45505</v>
      </c>
      <c r="B113">
        <v>1</v>
      </c>
      <c r="C113">
        <v>5536</v>
      </c>
      <c r="D113">
        <f t="shared" si="1"/>
        <v>9.3000000000000007</v>
      </c>
    </row>
    <row r="114" spans="1:4" x14ac:dyDescent="0.2">
      <c r="A114" s="1">
        <v>45505</v>
      </c>
      <c r="B114">
        <v>2</v>
      </c>
      <c r="C114">
        <v>1615</v>
      </c>
      <c r="D114">
        <f t="shared" si="1"/>
        <v>9.3000000000000007</v>
      </c>
    </row>
    <row r="115" spans="1:4" x14ac:dyDescent="0.2">
      <c r="A115" s="1">
        <v>45505</v>
      </c>
      <c r="B115" t="s">
        <v>10</v>
      </c>
      <c r="C115">
        <f>73+80+60+50+100+100+50+60+45+100+20+50+20+30+40+30</f>
        <v>908</v>
      </c>
      <c r="D115">
        <f t="shared" si="1"/>
        <v>9.3000000000000007</v>
      </c>
    </row>
    <row r="116" spans="1:4" x14ac:dyDescent="0.2">
      <c r="A116" s="1">
        <v>45505</v>
      </c>
      <c r="B116" t="s">
        <v>11</v>
      </c>
      <c r="C116">
        <f>+-1*C115</f>
        <v>-908</v>
      </c>
      <c r="D116">
        <f t="shared" si="1"/>
        <v>9.3000000000000007</v>
      </c>
    </row>
    <row r="117" spans="1:4" x14ac:dyDescent="0.2">
      <c r="A117" s="1">
        <v>45536</v>
      </c>
      <c r="B117">
        <v>1</v>
      </c>
      <c r="C117">
        <v>5697</v>
      </c>
      <c r="D117">
        <f t="shared" si="1"/>
        <v>9.3000000000000007</v>
      </c>
    </row>
    <row r="118" spans="1:4" x14ac:dyDescent="0.2">
      <c r="A118" s="1">
        <v>45536</v>
      </c>
      <c r="B118">
        <v>2</v>
      </c>
      <c r="C118">
        <v>1650</v>
      </c>
      <c r="D118">
        <f t="shared" si="1"/>
        <v>9.3000000000000007</v>
      </c>
    </row>
    <row r="119" spans="1:4" x14ac:dyDescent="0.2">
      <c r="A119" s="1">
        <v>45536</v>
      </c>
      <c r="B119" t="s">
        <v>10</v>
      </c>
      <c r="C119">
        <f>73+80+60+50+100+100+50+60+45+100+20+50+20+30+40+30+30</f>
        <v>938</v>
      </c>
      <c r="D119">
        <f t="shared" si="1"/>
        <v>9.3000000000000007</v>
      </c>
    </row>
    <row r="120" spans="1:4" x14ac:dyDescent="0.2">
      <c r="A120" s="1">
        <v>45536</v>
      </c>
      <c r="B120" t="s">
        <v>11</v>
      </c>
      <c r="C120">
        <f>+-1*C119</f>
        <v>-938</v>
      </c>
      <c r="D120">
        <f t="shared" si="1"/>
        <v>9.3000000000000007</v>
      </c>
    </row>
    <row r="121" spans="1:4" x14ac:dyDescent="0.2">
      <c r="A121" s="1">
        <v>45566</v>
      </c>
      <c r="B121">
        <v>1</v>
      </c>
      <c r="C121">
        <v>5766</v>
      </c>
      <c r="D121">
        <v>9.3000000000000007</v>
      </c>
    </row>
    <row r="122" spans="1:4" x14ac:dyDescent="0.2">
      <c r="A122" s="1">
        <v>45566</v>
      </c>
      <c r="B122">
        <v>2</v>
      </c>
      <c r="C122">
        <v>1696</v>
      </c>
      <c r="D122">
        <v>9.3000000000000007</v>
      </c>
    </row>
    <row r="123" spans="1:4" x14ac:dyDescent="0.2">
      <c r="A123" s="1">
        <v>45566</v>
      </c>
      <c r="B123" t="s">
        <v>12</v>
      </c>
      <c r="C123">
        <v>938</v>
      </c>
      <c r="D123">
        <v>9.3000000000000007</v>
      </c>
    </row>
    <row r="124" spans="1:4" x14ac:dyDescent="0.2">
      <c r="A124" s="1">
        <v>45566</v>
      </c>
      <c r="B124" t="s">
        <v>13</v>
      </c>
      <c r="C124">
        <v>-938</v>
      </c>
      <c r="D124">
        <v>9.3000000000000007</v>
      </c>
    </row>
    <row r="125" spans="1:4" x14ac:dyDescent="0.2">
      <c r="A125" s="1">
        <v>45597</v>
      </c>
      <c r="B125">
        <v>1</v>
      </c>
      <c r="C125">
        <v>5900</v>
      </c>
      <c r="D125">
        <v>9.3000000000000007</v>
      </c>
    </row>
    <row r="126" spans="1:4" x14ac:dyDescent="0.2">
      <c r="A126" s="1">
        <v>45597</v>
      </c>
      <c r="B126">
        <v>2</v>
      </c>
      <c r="C126">
        <v>1723</v>
      </c>
      <c r="D126">
        <v>9.3000000000000007</v>
      </c>
    </row>
    <row r="127" spans="1:4" x14ac:dyDescent="0.2">
      <c r="A127" s="1">
        <v>45597</v>
      </c>
      <c r="B127" t="s">
        <v>12</v>
      </c>
      <c r="C127">
        <f>938+30</f>
        <v>968</v>
      </c>
      <c r="D127">
        <v>9.3000000000000007</v>
      </c>
    </row>
    <row r="128" spans="1:4" x14ac:dyDescent="0.2">
      <c r="A128" s="1">
        <v>45597</v>
      </c>
      <c r="B128" t="s">
        <v>13</v>
      </c>
      <c r="C128">
        <f>+-C127</f>
        <v>-968</v>
      </c>
      <c r="D128">
        <v>9.3000000000000007</v>
      </c>
    </row>
    <row r="129" spans="1:4" x14ac:dyDescent="0.2">
      <c r="A129" s="1">
        <v>45627</v>
      </c>
      <c r="B129">
        <v>1</v>
      </c>
      <c r="C129">
        <v>6059</v>
      </c>
      <c r="D129">
        <v>9.3000000000000007</v>
      </c>
    </row>
    <row r="130" spans="1:4" x14ac:dyDescent="0.2">
      <c r="A130" s="1">
        <v>45627</v>
      </c>
      <c r="B130">
        <v>2</v>
      </c>
      <c r="C130">
        <v>1755</v>
      </c>
      <c r="D130">
        <v>9.3000000000000007</v>
      </c>
    </row>
    <row r="131" spans="1:4" x14ac:dyDescent="0.2">
      <c r="A131" s="1">
        <v>45627</v>
      </c>
      <c r="B131" t="s">
        <v>12</v>
      </c>
      <c r="C131">
        <f>938+30</f>
        <v>968</v>
      </c>
      <c r="D131">
        <v>9.3000000000000007</v>
      </c>
    </row>
    <row r="132" spans="1:4" x14ac:dyDescent="0.2">
      <c r="A132" s="1">
        <v>45627</v>
      </c>
      <c r="B132" t="s">
        <v>13</v>
      </c>
      <c r="C132">
        <f>+-C131</f>
        <v>-968</v>
      </c>
      <c r="D132">
        <v>9.3000000000000007</v>
      </c>
    </row>
    <row r="133" spans="1:4" x14ac:dyDescent="0.2">
      <c r="A133" s="1">
        <v>45658</v>
      </c>
      <c r="B133">
        <v>1</v>
      </c>
      <c r="C133">
        <v>6307</v>
      </c>
      <c r="D133">
        <v>9.3000000000000007</v>
      </c>
    </row>
    <row r="134" spans="1:4" x14ac:dyDescent="0.2">
      <c r="A134" s="1">
        <v>45658</v>
      </c>
      <c r="B134">
        <v>2</v>
      </c>
      <c r="C134">
        <v>1789</v>
      </c>
      <c r="D134">
        <v>9.3000000000000007</v>
      </c>
    </row>
    <row r="135" spans="1:4" x14ac:dyDescent="0.2">
      <c r="A135" s="1">
        <v>45658</v>
      </c>
      <c r="B135" t="s">
        <v>12</v>
      </c>
      <c r="C135">
        <f>938+30+30</f>
        <v>998</v>
      </c>
      <c r="D135">
        <v>9.3000000000000007</v>
      </c>
    </row>
    <row r="136" spans="1:4" x14ac:dyDescent="0.2">
      <c r="A136" s="1">
        <v>45658</v>
      </c>
      <c r="B136" t="s">
        <v>13</v>
      </c>
      <c r="C136">
        <f>+-C135</f>
        <v>-998</v>
      </c>
      <c r="D136">
        <v>9.3000000000000007</v>
      </c>
    </row>
    <row r="137" spans="1:4" x14ac:dyDescent="0.2">
      <c r="A137" s="1">
        <v>45689</v>
      </c>
      <c r="B137">
        <v>1</v>
      </c>
      <c r="C137">
        <v>6462</v>
      </c>
      <c r="D137">
        <v>9.3000000000000007</v>
      </c>
    </row>
    <row r="138" spans="1:4" x14ac:dyDescent="0.2">
      <c r="A138" s="1">
        <v>45689</v>
      </c>
      <c r="B138">
        <v>2</v>
      </c>
      <c r="C138">
        <v>1813</v>
      </c>
      <c r="D138">
        <v>9.3000000000000007</v>
      </c>
    </row>
    <row r="139" spans="1:4" x14ac:dyDescent="0.2">
      <c r="A139" s="1">
        <v>45689</v>
      </c>
      <c r="B139" t="s">
        <v>12</v>
      </c>
      <c r="C139">
        <f>938+30+30</f>
        <v>998</v>
      </c>
      <c r="D139">
        <v>9.3000000000000007</v>
      </c>
    </row>
    <row r="140" spans="1:4" x14ac:dyDescent="0.2">
      <c r="A140" s="1">
        <v>45689</v>
      </c>
      <c r="B140" t="s">
        <v>13</v>
      </c>
      <c r="C140">
        <f>+-C139</f>
        <v>-998</v>
      </c>
      <c r="D140">
        <v>9.3000000000000007</v>
      </c>
    </row>
    <row r="141" spans="1:4" x14ac:dyDescent="0.2">
      <c r="A141" s="1">
        <v>45717</v>
      </c>
      <c r="B141">
        <v>1</v>
      </c>
      <c r="C141">
        <v>6721</v>
      </c>
      <c r="D141">
        <v>9.3000000000000007</v>
      </c>
    </row>
    <row r="142" spans="1:4" x14ac:dyDescent="0.2">
      <c r="A142" s="1">
        <v>45717</v>
      </c>
      <c r="B142">
        <v>2</v>
      </c>
      <c r="C142">
        <v>1842</v>
      </c>
      <c r="D142">
        <v>9.3000000000000007</v>
      </c>
    </row>
    <row r="143" spans="1:4" x14ac:dyDescent="0.2">
      <c r="A143" s="1">
        <v>45717</v>
      </c>
      <c r="B143" t="s">
        <v>12</v>
      </c>
      <c r="C143">
        <f>938+30+30+30</f>
        <v>1028</v>
      </c>
      <c r="D143">
        <v>9.3000000000000007</v>
      </c>
    </row>
    <row r="144" spans="1:4" x14ac:dyDescent="0.2">
      <c r="A144" s="1">
        <v>45717</v>
      </c>
      <c r="B144" t="s">
        <v>13</v>
      </c>
      <c r="C144">
        <f>+-C143</f>
        <v>-1028</v>
      </c>
      <c r="D144">
        <v>9.3000000000000007</v>
      </c>
    </row>
    <row r="145" spans="1:4" x14ac:dyDescent="0.2">
      <c r="A145" s="1">
        <v>45748</v>
      </c>
      <c r="B145">
        <v>1</v>
      </c>
      <c r="C145">
        <v>6944</v>
      </c>
      <c r="D145">
        <v>9.3000000000000007</v>
      </c>
    </row>
    <row r="146" spans="1:4" x14ac:dyDescent="0.2">
      <c r="A146" s="1">
        <v>45748</v>
      </c>
      <c r="B146">
        <v>2</v>
      </c>
      <c r="C146">
        <v>1888</v>
      </c>
      <c r="D146">
        <v>9.3000000000000007</v>
      </c>
    </row>
    <row r="147" spans="1:4" x14ac:dyDescent="0.2">
      <c r="A147" s="1">
        <v>45748</v>
      </c>
      <c r="B147" t="s">
        <v>12</v>
      </c>
      <c r="C147">
        <f>938+30+30+30+50</f>
        <v>1078</v>
      </c>
      <c r="D147">
        <v>9.3000000000000007</v>
      </c>
    </row>
    <row r="148" spans="1:4" x14ac:dyDescent="0.2">
      <c r="A148" s="1">
        <v>45748</v>
      </c>
      <c r="B148" t="s">
        <v>13</v>
      </c>
      <c r="C148">
        <f>+-C147</f>
        <v>-1078</v>
      </c>
      <c r="D148">
        <v>9.3000000000000007</v>
      </c>
    </row>
    <row r="149" spans="1:4" x14ac:dyDescent="0.2">
      <c r="A149" s="1">
        <v>45778</v>
      </c>
      <c r="B149">
        <v>1</v>
      </c>
      <c r="C149">
        <v>7088</v>
      </c>
      <c r="D149">
        <v>9.3000000000000007</v>
      </c>
    </row>
    <row r="150" spans="1:4" x14ac:dyDescent="0.2">
      <c r="A150" s="1">
        <v>45778</v>
      </c>
      <c r="B150">
        <v>2</v>
      </c>
      <c r="C150">
        <v>1897</v>
      </c>
      <c r="D150">
        <v>9.3000000000000007</v>
      </c>
    </row>
    <row r="151" spans="1:4" x14ac:dyDescent="0.2">
      <c r="A151" s="1">
        <v>45778</v>
      </c>
      <c r="B151" t="s">
        <v>12</v>
      </c>
      <c r="C151">
        <f>938+30+30+30+50+53.76</f>
        <v>1131.76</v>
      </c>
      <c r="D151">
        <v>9.3000000000000007</v>
      </c>
    </row>
    <row r="152" spans="1:4" x14ac:dyDescent="0.2">
      <c r="A152" s="1">
        <v>45778</v>
      </c>
      <c r="B152" t="s">
        <v>13</v>
      </c>
      <c r="C152">
        <f>+-C151</f>
        <v>-1131.76</v>
      </c>
      <c r="D152">
        <v>9.3000000000000007</v>
      </c>
    </row>
    <row r="153" spans="1:4" x14ac:dyDescent="0.2">
      <c r="A153" s="1">
        <v>45809</v>
      </c>
      <c r="B153">
        <v>1</v>
      </c>
      <c r="C153">
        <v>7178</v>
      </c>
      <c r="D153">
        <v>9.3000000000000007</v>
      </c>
    </row>
    <row r="154" spans="1:4" x14ac:dyDescent="0.2">
      <c r="A154" s="1">
        <v>45809</v>
      </c>
      <c r="B154">
        <v>2</v>
      </c>
      <c r="C154">
        <v>1908</v>
      </c>
      <c r="D154">
        <v>9.3000000000000007</v>
      </c>
    </row>
    <row r="155" spans="1:4" x14ac:dyDescent="0.2">
      <c r="A155" s="1">
        <v>45809</v>
      </c>
      <c r="B155" t="s">
        <v>12</v>
      </c>
      <c r="C155">
        <f>938+30+30+30+50+53.76+21.5</f>
        <v>1153.26</v>
      </c>
      <c r="D155">
        <v>9.3000000000000007</v>
      </c>
    </row>
    <row r="156" spans="1:4" x14ac:dyDescent="0.2">
      <c r="A156" s="1">
        <v>45809</v>
      </c>
      <c r="B156" t="s">
        <v>13</v>
      </c>
      <c r="C156">
        <f>+-C155</f>
        <v>-1153.26</v>
      </c>
      <c r="D156">
        <v>9.3000000000000007</v>
      </c>
    </row>
    <row r="157" spans="1:4" x14ac:dyDescent="0.2">
      <c r="A157" s="1">
        <v>45839</v>
      </c>
      <c r="B157">
        <v>1</v>
      </c>
      <c r="C157">
        <v>7328</v>
      </c>
      <c r="D157">
        <v>9.3000000000000007</v>
      </c>
    </row>
    <row r="158" spans="1:4" x14ac:dyDescent="0.2">
      <c r="A158" s="1">
        <v>45839</v>
      </c>
      <c r="B158">
        <v>2</v>
      </c>
      <c r="C158">
        <v>1912</v>
      </c>
      <c r="D158">
        <v>9.3000000000000007</v>
      </c>
    </row>
    <row r="159" spans="1:4" x14ac:dyDescent="0.2">
      <c r="A159" s="1">
        <v>45839</v>
      </c>
      <c r="B159" t="s">
        <v>12</v>
      </c>
      <c r="C159">
        <f>938+30+30+30+50+53.76+21.5+43.06</f>
        <v>1196.32</v>
      </c>
      <c r="D159">
        <v>9.3000000000000007</v>
      </c>
    </row>
    <row r="160" spans="1:4" x14ac:dyDescent="0.2">
      <c r="A160" s="1">
        <v>45839</v>
      </c>
      <c r="B160" t="s">
        <v>13</v>
      </c>
      <c r="C160">
        <f>+-C159</f>
        <v>-1196.32</v>
      </c>
      <c r="D160">
        <v>9.3000000000000007</v>
      </c>
    </row>
    <row r="161" spans="1:6" x14ac:dyDescent="0.2">
      <c r="A161" s="1">
        <v>45870</v>
      </c>
      <c r="B161">
        <v>1</v>
      </c>
      <c r="C161">
        <v>7465</v>
      </c>
      <c r="D161">
        <v>9.3000000000000007</v>
      </c>
    </row>
    <row r="162" spans="1:6" x14ac:dyDescent="0.2">
      <c r="A162" s="1">
        <v>45870</v>
      </c>
      <c r="B162">
        <v>2</v>
      </c>
      <c r="C162">
        <v>1913</v>
      </c>
      <c r="D162">
        <v>9.3000000000000007</v>
      </c>
    </row>
    <row r="163" spans="1:6" x14ac:dyDescent="0.2">
      <c r="A163" s="1">
        <v>45870</v>
      </c>
      <c r="B163" t="s">
        <v>12</v>
      </c>
      <c r="C163">
        <f>938+30+30+30+50+53.76+21.5+43.06+43.01</f>
        <v>1239.33</v>
      </c>
      <c r="D163">
        <v>9.3000000000000007</v>
      </c>
    </row>
    <row r="164" spans="1:6" x14ac:dyDescent="0.2">
      <c r="A164" s="1">
        <v>45870</v>
      </c>
      <c r="B164" t="s">
        <v>13</v>
      </c>
      <c r="C164">
        <f>+-C163</f>
        <v>-1239.33</v>
      </c>
      <c r="D164">
        <v>9.3000000000000007</v>
      </c>
    </row>
    <row r="165" spans="1:6" x14ac:dyDescent="0.2">
      <c r="A165" s="1">
        <v>45901</v>
      </c>
      <c r="B165">
        <v>1</v>
      </c>
      <c r="C165">
        <v>7697</v>
      </c>
      <c r="D165">
        <v>9.3000000000000007</v>
      </c>
    </row>
    <row r="166" spans="1:6" x14ac:dyDescent="0.2">
      <c r="A166" s="1">
        <v>45901</v>
      </c>
      <c r="B166">
        <v>2</v>
      </c>
      <c r="C166">
        <v>1915</v>
      </c>
      <c r="D166">
        <v>9.3000000000000007</v>
      </c>
    </row>
    <row r="167" spans="1:6" x14ac:dyDescent="0.2">
      <c r="A167" s="1">
        <v>45901</v>
      </c>
      <c r="B167" t="s">
        <v>12</v>
      </c>
      <c r="C167">
        <f>938+30+30+30+50+53.76+21.5+43.06+43.01+60</f>
        <v>1299.33</v>
      </c>
      <c r="D167">
        <v>9.3000000000000007</v>
      </c>
    </row>
    <row r="168" spans="1:6" x14ac:dyDescent="0.2">
      <c r="A168" s="1">
        <v>45901</v>
      </c>
      <c r="B168" t="s">
        <v>13</v>
      </c>
      <c r="C168">
        <f>+-C167</f>
        <v>-1299.33</v>
      </c>
      <c r="D168">
        <v>9.3000000000000007</v>
      </c>
    </row>
    <row r="169" spans="1:6" x14ac:dyDescent="0.2">
      <c r="A169" s="1">
        <v>45901</v>
      </c>
      <c r="B169">
        <v>3</v>
      </c>
      <c r="C169">
        <v>0</v>
      </c>
      <c r="D169">
        <v>9.3000000000000007</v>
      </c>
    </row>
    <row r="170" spans="1:6" x14ac:dyDescent="0.2">
      <c r="A170" s="1">
        <v>45901</v>
      </c>
      <c r="B170">
        <v>4</v>
      </c>
      <c r="C170">
        <v>2</v>
      </c>
      <c r="D170">
        <v>9.3000000000000007</v>
      </c>
    </row>
    <row r="171" spans="1:6" x14ac:dyDescent="0.2">
      <c r="A171" s="1">
        <v>45901</v>
      </c>
      <c r="B171">
        <v>5</v>
      </c>
      <c r="C171">
        <v>0</v>
      </c>
      <c r="D171">
        <v>9.3000000000000007</v>
      </c>
    </row>
    <row r="172" spans="1:6" x14ac:dyDescent="0.2">
      <c r="A172" s="1">
        <v>45931</v>
      </c>
      <c r="B172">
        <v>1</v>
      </c>
      <c r="C172">
        <v>7903</v>
      </c>
      <c r="D172">
        <v>9.0112810000000003</v>
      </c>
    </row>
    <row r="173" spans="1:6" x14ac:dyDescent="0.2">
      <c r="A173" s="1">
        <v>45931</v>
      </c>
      <c r="B173">
        <v>2</v>
      </c>
      <c r="C173">
        <v>1917</v>
      </c>
      <c r="D173">
        <v>9.0112810000000003</v>
      </c>
    </row>
    <row r="174" spans="1:6" x14ac:dyDescent="0.2">
      <c r="A174" s="1">
        <v>45931</v>
      </c>
      <c r="B174" t="s">
        <v>12</v>
      </c>
      <c r="C174">
        <f>938+30+30+30+50+53.76+21.5+43.06+43.01+60+55.48</f>
        <v>1354.81</v>
      </c>
      <c r="D174">
        <v>9.0112810000000003</v>
      </c>
      <c r="F174">
        <f>300/D195</f>
        <v>36.656116629010654</v>
      </c>
    </row>
    <row r="175" spans="1:6" x14ac:dyDescent="0.2">
      <c r="A175" s="1">
        <v>45931</v>
      </c>
      <c r="B175" t="s">
        <v>13</v>
      </c>
      <c r="C175">
        <f>+-C174</f>
        <v>-1354.81</v>
      </c>
      <c r="D175">
        <v>9.0112810000000003</v>
      </c>
    </row>
    <row r="176" spans="1:6" x14ac:dyDescent="0.2">
      <c r="A176" s="1">
        <v>45931</v>
      </c>
      <c r="B176">
        <v>3</v>
      </c>
      <c r="C176">
        <v>0</v>
      </c>
      <c r="D176">
        <v>9.0112810000000003</v>
      </c>
    </row>
    <row r="177" spans="1:4" x14ac:dyDescent="0.2">
      <c r="A177" s="1">
        <v>45931</v>
      </c>
      <c r="B177">
        <v>4</v>
      </c>
      <c r="C177">
        <v>6</v>
      </c>
      <c r="D177">
        <v>9.0112810000000003</v>
      </c>
    </row>
    <row r="178" spans="1:4" x14ac:dyDescent="0.2">
      <c r="A178" s="1">
        <v>45931</v>
      </c>
      <c r="B178">
        <v>5</v>
      </c>
      <c r="C178">
        <v>1</v>
      </c>
      <c r="D178">
        <v>9.0112810000000003</v>
      </c>
    </row>
    <row r="179" spans="1:4" x14ac:dyDescent="0.2">
      <c r="A179" s="1">
        <v>45962</v>
      </c>
      <c r="B179">
        <v>1</v>
      </c>
      <c r="C179">
        <v>8147</v>
      </c>
      <c r="D179">
        <v>8.2850970000000004</v>
      </c>
    </row>
    <row r="180" spans="1:4" x14ac:dyDescent="0.2">
      <c r="A180" s="1">
        <v>45962</v>
      </c>
      <c r="B180">
        <v>2</v>
      </c>
      <c r="C180">
        <v>1922</v>
      </c>
      <c r="D180">
        <v>8.2850970000000004</v>
      </c>
    </row>
    <row r="181" spans="1:4" x14ac:dyDescent="0.2">
      <c r="A181" s="1">
        <v>45962</v>
      </c>
      <c r="B181" t="s">
        <v>12</v>
      </c>
      <c r="C181">
        <f>938+30+30+30+50+53.76+21.5+43.06+43.01+60+55.48+48.28</f>
        <v>1403.09</v>
      </c>
      <c r="D181">
        <v>8.2850970000000004</v>
      </c>
    </row>
    <row r="182" spans="1:4" x14ac:dyDescent="0.2">
      <c r="A182" s="1">
        <v>45962</v>
      </c>
      <c r="B182" t="s">
        <v>13</v>
      </c>
      <c r="C182">
        <f>+-C181</f>
        <v>-1403.09</v>
      </c>
      <c r="D182">
        <v>8.2850970000000004</v>
      </c>
    </row>
    <row r="183" spans="1:4" x14ac:dyDescent="0.2">
      <c r="A183" s="1">
        <v>45962</v>
      </c>
      <c r="B183">
        <v>3</v>
      </c>
      <c r="C183">
        <v>0</v>
      </c>
      <c r="D183">
        <v>8.2850970000000004</v>
      </c>
    </row>
    <row r="184" spans="1:4" x14ac:dyDescent="0.2">
      <c r="A184" s="1">
        <v>45962</v>
      </c>
      <c r="B184">
        <v>4</v>
      </c>
      <c r="C184">
        <v>10</v>
      </c>
      <c r="D184">
        <v>8.2850970000000004</v>
      </c>
    </row>
    <row r="185" spans="1:4" x14ac:dyDescent="0.2">
      <c r="A185" s="1">
        <v>45962</v>
      </c>
      <c r="B185">
        <v>5</v>
      </c>
      <c r="C185">
        <v>2</v>
      </c>
      <c r="D185">
        <v>8.2850970000000004</v>
      </c>
    </row>
    <row r="186" spans="1:4" x14ac:dyDescent="0.2">
      <c r="A186" s="1">
        <v>45992</v>
      </c>
      <c r="B186">
        <v>1</v>
      </c>
      <c r="C186">
        <v>8390</v>
      </c>
      <c r="D186">
        <v>8.9318969999999993</v>
      </c>
    </row>
    <row r="187" spans="1:4" x14ac:dyDescent="0.2">
      <c r="A187" s="1">
        <v>45992</v>
      </c>
      <c r="B187">
        <v>2</v>
      </c>
      <c r="C187">
        <v>1924</v>
      </c>
      <c r="D187">
        <v>8.9318969999999993</v>
      </c>
    </row>
    <row r="188" spans="1:4" x14ac:dyDescent="0.2">
      <c r="A188" s="1">
        <v>45992</v>
      </c>
      <c r="B188" t="s">
        <v>12</v>
      </c>
      <c r="C188">
        <f>938+30+30+30+50+53.76+21.5+43.06+43.01+60+55.48+48.28+55.98</f>
        <v>1459.07</v>
      </c>
      <c r="D188">
        <v>8.9318969999999993</v>
      </c>
    </row>
    <row r="189" spans="1:4" x14ac:dyDescent="0.2">
      <c r="A189" s="1">
        <v>45992</v>
      </c>
      <c r="B189" t="s">
        <v>13</v>
      </c>
      <c r="C189">
        <f>+-C188</f>
        <v>-1459.07</v>
      </c>
      <c r="D189">
        <v>8.9318969999999993</v>
      </c>
    </row>
    <row r="190" spans="1:4" x14ac:dyDescent="0.2">
      <c r="A190" s="1">
        <v>45992</v>
      </c>
      <c r="B190">
        <v>3</v>
      </c>
      <c r="C190">
        <v>0</v>
      </c>
      <c r="D190">
        <v>8.9318969999999993</v>
      </c>
    </row>
    <row r="191" spans="1:4" x14ac:dyDescent="0.2">
      <c r="A191" s="1">
        <v>45992</v>
      </c>
      <c r="B191">
        <v>4</v>
      </c>
      <c r="C191">
        <v>12</v>
      </c>
      <c r="D191">
        <v>8.9318969999999993</v>
      </c>
    </row>
    <row r="192" spans="1:4" x14ac:dyDescent="0.2">
      <c r="A192" s="1">
        <v>45992</v>
      </c>
      <c r="B192">
        <v>5</v>
      </c>
      <c r="C192">
        <v>2</v>
      </c>
      <c r="D192">
        <v>8.9318969999999993</v>
      </c>
    </row>
    <row r="193" spans="1:5" x14ac:dyDescent="0.2">
      <c r="A193" s="1">
        <v>46023</v>
      </c>
      <c r="B193">
        <v>1</v>
      </c>
      <c r="C193">
        <v>8650</v>
      </c>
      <c r="D193">
        <v>8.1841729999999995</v>
      </c>
    </row>
    <row r="194" spans="1:5" x14ac:dyDescent="0.2">
      <c r="A194" s="1">
        <v>46023</v>
      </c>
      <c r="B194">
        <v>2</v>
      </c>
      <c r="C194">
        <v>1926</v>
      </c>
      <c r="D194">
        <v>8.1841729999999995</v>
      </c>
    </row>
    <row r="195" spans="1:5" x14ac:dyDescent="0.2">
      <c r="A195" s="1">
        <v>46023</v>
      </c>
      <c r="B195" t="s">
        <v>12</v>
      </c>
      <c r="C195">
        <f>938+30+30+30+50+53.76+21.5+43.06+43.01+60+55.48+48.28+55.98+36.66</f>
        <v>1495.73</v>
      </c>
      <c r="D195">
        <v>8.1841729999999995</v>
      </c>
    </row>
    <row r="196" spans="1:5" x14ac:dyDescent="0.2">
      <c r="A196" s="1">
        <v>46023</v>
      </c>
      <c r="B196" t="s">
        <v>13</v>
      </c>
      <c r="C196">
        <f>+-C195</f>
        <v>-1495.73</v>
      </c>
      <c r="D196">
        <v>8.1841729999999995</v>
      </c>
    </row>
    <row r="197" spans="1:5" x14ac:dyDescent="0.2">
      <c r="A197" s="1">
        <v>46023</v>
      </c>
      <c r="B197">
        <v>3</v>
      </c>
      <c r="C197">
        <v>0</v>
      </c>
      <c r="D197">
        <v>8.1841729999999995</v>
      </c>
    </row>
    <row r="198" spans="1:5" x14ac:dyDescent="0.2">
      <c r="A198" s="1">
        <v>46023</v>
      </c>
      <c r="B198">
        <v>4</v>
      </c>
      <c r="C198">
        <v>12</v>
      </c>
      <c r="D198">
        <v>8.1841729999999995</v>
      </c>
    </row>
    <row r="199" spans="1:5" x14ac:dyDescent="0.2">
      <c r="A199" s="1">
        <v>46023</v>
      </c>
      <c r="B199">
        <v>5</v>
      </c>
      <c r="C199">
        <v>2</v>
      </c>
      <c r="D199">
        <v>8.1841729999999995</v>
      </c>
    </row>
    <row r="200" spans="1:5" x14ac:dyDescent="0.2">
      <c r="A200" s="1">
        <v>46054</v>
      </c>
      <c r="B200">
        <v>1</v>
      </c>
      <c r="C200">
        <v>8963</v>
      </c>
      <c r="D200">
        <v>7.8419119999999998</v>
      </c>
    </row>
    <row r="201" spans="1:5" x14ac:dyDescent="0.2">
      <c r="A201" s="1">
        <v>46054</v>
      </c>
      <c r="B201">
        <v>2</v>
      </c>
      <c r="C201">
        <v>1930</v>
      </c>
      <c r="D201">
        <v>7.8419119999999998</v>
      </c>
    </row>
    <row r="202" spans="1:5" x14ac:dyDescent="0.2">
      <c r="A202" s="1">
        <v>46054</v>
      </c>
      <c r="B202" t="s">
        <v>12</v>
      </c>
      <c r="C202">
        <f>938+30+30+30+50+53.76+21.5+43.06+43.01+60+55.48+48.28+55.98+36.66+102</f>
        <v>1597.73</v>
      </c>
      <c r="D202">
        <v>7.8419119999999998</v>
      </c>
      <c r="E202">
        <f>800/D202</f>
        <v>102.01593692966715</v>
      </c>
    </row>
    <row r="203" spans="1:5" x14ac:dyDescent="0.2">
      <c r="A203" s="1">
        <v>46054</v>
      </c>
      <c r="B203" t="s">
        <v>13</v>
      </c>
      <c r="C203">
        <f>+-C202</f>
        <v>-1597.73</v>
      </c>
      <c r="D203">
        <v>7.8419119999999998</v>
      </c>
    </row>
    <row r="204" spans="1:5" x14ac:dyDescent="0.2">
      <c r="A204" s="1">
        <v>46054</v>
      </c>
      <c r="B204">
        <v>3</v>
      </c>
      <c r="C204">
        <v>0</v>
      </c>
      <c r="D204">
        <v>7.8419119999999998</v>
      </c>
    </row>
    <row r="205" spans="1:5" x14ac:dyDescent="0.2">
      <c r="A205" s="1">
        <v>46054</v>
      </c>
      <c r="B205">
        <v>4</v>
      </c>
      <c r="C205">
        <v>12</v>
      </c>
      <c r="D205">
        <v>7.8419119999999998</v>
      </c>
    </row>
    <row r="206" spans="1:5" x14ac:dyDescent="0.2">
      <c r="A206" s="1">
        <v>46054</v>
      </c>
      <c r="B206">
        <v>5</v>
      </c>
      <c r="C206">
        <v>2</v>
      </c>
      <c r="D206">
        <v>7.8419119999999998</v>
      </c>
    </row>
    <row r="207" spans="1:5" x14ac:dyDescent="0.2">
      <c r="A207" s="1">
        <v>46082</v>
      </c>
      <c r="B207">
        <v>1</v>
      </c>
      <c r="C207">
        <v>9225</v>
      </c>
      <c r="D207">
        <v>10.704330000000001</v>
      </c>
    </row>
    <row r="208" spans="1:5" x14ac:dyDescent="0.2">
      <c r="A208" s="1">
        <v>46082</v>
      </c>
      <c r="B208">
        <v>2</v>
      </c>
      <c r="C208">
        <v>1939</v>
      </c>
      <c r="D208">
        <v>10.704330000000001</v>
      </c>
    </row>
    <row r="209" spans="1:5" x14ac:dyDescent="0.2">
      <c r="A209" s="1">
        <v>46082</v>
      </c>
      <c r="B209" t="s">
        <v>12</v>
      </c>
      <c r="C209">
        <f>938+30+30+30+50+53.76+21.5+43.06+43.01+60+55.48+48.28+55.98+36.66+102+84.1</f>
        <v>1681.83</v>
      </c>
      <c r="D209">
        <v>10.704330000000001</v>
      </c>
      <c r="E209">
        <f>900/D209</f>
        <v>84.078125394116213</v>
      </c>
    </row>
    <row r="210" spans="1:5" x14ac:dyDescent="0.2">
      <c r="A210" s="1">
        <v>46082</v>
      </c>
      <c r="B210" t="s">
        <v>13</v>
      </c>
      <c r="C210">
        <f>+-C209</f>
        <v>-1681.83</v>
      </c>
      <c r="D210">
        <v>10.704330000000001</v>
      </c>
    </row>
    <row r="211" spans="1:5" x14ac:dyDescent="0.2">
      <c r="A211" s="1">
        <v>46082</v>
      </c>
      <c r="B211">
        <v>3</v>
      </c>
      <c r="C211">
        <v>0</v>
      </c>
      <c r="D211">
        <v>10.704330000000001</v>
      </c>
    </row>
    <row r="212" spans="1:5" x14ac:dyDescent="0.2">
      <c r="A212" s="1">
        <v>46082</v>
      </c>
      <c r="B212">
        <v>4</v>
      </c>
      <c r="C212">
        <v>12</v>
      </c>
      <c r="D212">
        <v>10.704330000000001</v>
      </c>
    </row>
    <row r="213" spans="1:5" x14ac:dyDescent="0.2">
      <c r="A213" s="1">
        <v>46082</v>
      </c>
      <c r="B213">
        <v>5</v>
      </c>
      <c r="C213">
        <v>2</v>
      </c>
      <c r="D213">
        <v>10.704330000000001</v>
      </c>
    </row>
    <row r="214" spans="1:5" x14ac:dyDescent="0.2">
      <c r="A214" s="1">
        <v>46113</v>
      </c>
      <c r="B214">
        <v>1</v>
      </c>
      <c r="C214">
        <v>9576</v>
      </c>
      <c r="D214">
        <v>8.2209699000000001</v>
      </c>
    </row>
    <row r="215" spans="1:5" x14ac:dyDescent="0.2">
      <c r="A215" s="1">
        <v>46113</v>
      </c>
      <c r="B215">
        <v>2</v>
      </c>
      <c r="C215">
        <v>1956</v>
      </c>
      <c r="D215">
        <v>8.2209699000000001</v>
      </c>
    </row>
    <row r="216" spans="1:5" x14ac:dyDescent="0.2">
      <c r="A216" s="1">
        <v>46113</v>
      </c>
      <c r="B216" t="s">
        <v>12</v>
      </c>
      <c r="C216">
        <f>938+30+30+30+50+53.76+21.5+43.06+43.01+60+55.48+48.28+55.98+36.66+102+84.1+121.64</f>
        <v>1803.47</v>
      </c>
      <c r="D216">
        <v>8.2209699000000001</v>
      </c>
      <c r="E216">
        <f>1000/D216</f>
        <v>121.64014856689842</v>
      </c>
    </row>
    <row r="217" spans="1:5" x14ac:dyDescent="0.2">
      <c r="A217" s="1">
        <v>46113</v>
      </c>
      <c r="B217" t="s">
        <v>13</v>
      </c>
      <c r="C217">
        <f>+-C216</f>
        <v>-1803.47</v>
      </c>
      <c r="D217">
        <v>8.2209699000000001</v>
      </c>
    </row>
    <row r="218" spans="1:5" x14ac:dyDescent="0.2">
      <c r="A218" s="1">
        <v>46113</v>
      </c>
      <c r="B218">
        <v>3</v>
      </c>
      <c r="C218">
        <v>0</v>
      </c>
      <c r="D218">
        <v>8.2209699000000001</v>
      </c>
    </row>
    <row r="219" spans="1:5" x14ac:dyDescent="0.2">
      <c r="A219" s="1">
        <v>46113</v>
      </c>
      <c r="B219">
        <v>4</v>
      </c>
      <c r="C219">
        <v>12</v>
      </c>
      <c r="D219">
        <v>8.2209699000000001</v>
      </c>
    </row>
    <row r="220" spans="1:5" x14ac:dyDescent="0.2">
      <c r="A220" s="1">
        <v>46113</v>
      </c>
      <c r="B220">
        <v>5</v>
      </c>
      <c r="C220">
        <v>2</v>
      </c>
      <c r="D220">
        <v>8.2209699000000001</v>
      </c>
    </row>
    <row r="221" spans="1:5" x14ac:dyDescent="0.2">
      <c r="A221" s="1">
        <v>46143</v>
      </c>
      <c r="B221">
        <v>1</v>
      </c>
      <c r="C221">
        <v>9880</v>
      </c>
      <c r="D221">
        <v>7.4940277999999996</v>
      </c>
    </row>
    <row r="222" spans="1:5" x14ac:dyDescent="0.2">
      <c r="A222" s="1">
        <v>46143</v>
      </c>
      <c r="B222">
        <v>2</v>
      </c>
      <c r="C222">
        <v>1957</v>
      </c>
      <c r="D222">
        <v>7.4940277999999996</v>
      </c>
    </row>
    <row r="223" spans="1:5" x14ac:dyDescent="0.2">
      <c r="A223" s="1">
        <v>46143</v>
      </c>
      <c r="B223" t="s">
        <v>12</v>
      </c>
      <c r="C223">
        <f>938+30+30+30+50+53.76+21.5+43.06+43.01+60+55.48+48.28+55.98+36.66+102+84.1+121.64+106.75</f>
        <v>1910.22</v>
      </c>
      <c r="D223">
        <v>7.4940277999999996</v>
      </c>
      <c r="E223">
        <f>800/D223</f>
        <v>106.75167231165062</v>
      </c>
    </row>
    <row r="224" spans="1:5" x14ac:dyDescent="0.2">
      <c r="A224" s="1">
        <v>46143</v>
      </c>
      <c r="B224" t="s">
        <v>13</v>
      </c>
      <c r="C224">
        <f>+-C223</f>
        <v>-1910.22</v>
      </c>
      <c r="D224">
        <v>7.4940277999999996</v>
      </c>
    </row>
    <row r="225" spans="1:5" x14ac:dyDescent="0.2">
      <c r="A225" s="1">
        <v>46143</v>
      </c>
      <c r="B225">
        <v>3</v>
      </c>
      <c r="C225">
        <v>0</v>
      </c>
      <c r="D225">
        <v>7.4940277999999996</v>
      </c>
    </row>
    <row r="226" spans="1:5" x14ac:dyDescent="0.2">
      <c r="A226" s="1">
        <v>46143</v>
      </c>
      <c r="B226">
        <v>4</v>
      </c>
      <c r="C226">
        <v>12</v>
      </c>
      <c r="D226">
        <v>7.4940277999999996</v>
      </c>
    </row>
    <row r="227" spans="1:5" x14ac:dyDescent="0.2">
      <c r="A227" s="1">
        <v>46143</v>
      </c>
      <c r="B227">
        <v>5</v>
      </c>
      <c r="C227">
        <v>2</v>
      </c>
      <c r="D227">
        <v>7.4940277999999996</v>
      </c>
    </row>
    <row r="228" spans="1:5" x14ac:dyDescent="0.2">
      <c r="A228" s="1">
        <v>46174</v>
      </c>
      <c r="B228">
        <v>1</v>
      </c>
      <c r="C228">
        <v>10067</v>
      </c>
      <c r="D228">
        <v>11.319849</v>
      </c>
    </row>
    <row r="229" spans="1:5" x14ac:dyDescent="0.2">
      <c r="A229" s="1">
        <v>46174</v>
      </c>
      <c r="B229">
        <v>2</v>
      </c>
      <c r="C229">
        <v>1959</v>
      </c>
      <c r="D229">
        <v>11.319849</v>
      </c>
    </row>
    <row r="230" spans="1:5" x14ac:dyDescent="0.2">
      <c r="A230" s="1">
        <v>46174</v>
      </c>
      <c r="B230" t="s">
        <v>12</v>
      </c>
      <c r="C230">
        <f>938+30+30+30+50+53.76+21.5+43.06+43.01+60+55.48+48.28+55.98+36.66+102+84.1+121.64+106.75</f>
        <v>1910.22</v>
      </c>
      <c r="D230">
        <v>11.319849</v>
      </c>
      <c r="E230">
        <f>800/D230</f>
        <v>70.672320805692735</v>
      </c>
    </row>
    <row r="231" spans="1:5" x14ac:dyDescent="0.2">
      <c r="A231" s="1">
        <v>46174</v>
      </c>
      <c r="B231" t="s">
        <v>13</v>
      </c>
      <c r="C231">
        <f>+-C230</f>
        <v>-1910.22</v>
      </c>
      <c r="D231">
        <v>11.319849</v>
      </c>
    </row>
    <row r="232" spans="1:5" x14ac:dyDescent="0.2">
      <c r="A232" s="1">
        <v>46174</v>
      </c>
      <c r="B232">
        <v>3</v>
      </c>
      <c r="C232">
        <v>0</v>
      </c>
      <c r="D232">
        <v>11.319849</v>
      </c>
    </row>
    <row r="233" spans="1:5" x14ac:dyDescent="0.2">
      <c r="A233" s="1">
        <v>46174</v>
      </c>
      <c r="B233">
        <v>4</v>
      </c>
      <c r="C233">
        <v>12</v>
      </c>
      <c r="D233">
        <v>11.319849</v>
      </c>
    </row>
    <row r="234" spans="1:5" x14ac:dyDescent="0.2">
      <c r="A234" s="1">
        <v>46174</v>
      </c>
      <c r="B234">
        <v>5</v>
      </c>
      <c r="C234">
        <v>2</v>
      </c>
      <c r="D234">
        <v>11.319849</v>
      </c>
    </row>
    <row r="235" spans="1:5" x14ac:dyDescent="0.2">
      <c r="A235" s="1">
        <v>46204</v>
      </c>
      <c r="B235">
        <v>1</v>
      </c>
      <c r="C235">
        <v>10356</v>
      </c>
      <c r="D235">
        <v>8.1847961999999992</v>
      </c>
    </row>
    <row r="236" spans="1:5" x14ac:dyDescent="0.2">
      <c r="A236" s="1">
        <v>46204</v>
      </c>
      <c r="B236">
        <v>2</v>
      </c>
      <c r="C236">
        <v>1963</v>
      </c>
      <c r="D236">
        <v>8.1847961999999992</v>
      </c>
    </row>
    <row r="237" spans="1:5" x14ac:dyDescent="0.2">
      <c r="A237" s="1">
        <v>46204</v>
      </c>
      <c r="B237" t="s">
        <v>12</v>
      </c>
      <c r="C237">
        <f>938+30+30+30+50+53.76+21.5+43.06+43.01+60+55.48+48.28+55.98+36.66+102+84.1+121.64+106.75+97.7422</f>
        <v>2007.9621999999999</v>
      </c>
      <c r="D237">
        <v>8.1847961999999992</v>
      </c>
      <c r="E237">
        <f>800/D237</f>
        <v>97.742201571249879</v>
      </c>
    </row>
    <row r="238" spans="1:5" x14ac:dyDescent="0.2">
      <c r="A238" s="1">
        <v>46204</v>
      </c>
      <c r="B238" t="s">
        <v>13</v>
      </c>
      <c r="C238">
        <f>+-C237</f>
        <v>-2007.9621999999999</v>
      </c>
      <c r="D238">
        <v>8.1847961999999992</v>
      </c>
    </row>
    <row r="239" spans="1:5" x14ac:dyDescent="0.2">
      <c r="A239" s="1">
        <v>46204</v>
      </c>
      <c r="B239">
        <v>3</v>
      </c>
      <c r="C239">
        <v>0</v>
      </c>
      <c r="D239">
        <v>8.1847961999999992</v>
      </c>
    </row>
    <row r="240" spans="1:5" x14ac:dyDescent="0.2">
      <c r="A240" s="1">
        <v>46204</v>
      </c>
      <c r="B240">
        <v>4</v>
      </c>
      <c r="C240">
        <v>12</v>
      </c>
      <c r="D240">
        <v>8.1847961999999992</v>
      </c>
    </row>
    <row r="241" spans="1:5" x14ac:dyDescent="0.2">
      <c r="A241" s="1">
        <v>46204</v>
      </c>
      <c r="B241">
        <v>5</v>
      </c>
      <c r="C241">
        <v>2</v>
      </c>
      <c r="D241">
        <v>8.1847961999999992</v>
      </c>
    </row>
    <row r="242" spans="1:5" x14ac:dyDescent="0.2">
      <c r="A242" s="1">
        <v>46235</v>
      </c>
      <c r="B242">
        <v>1</v>
      </c>
      <c r="C242">
        <v>10644</v>
      </c>
      <c r="D242">
        <v>8.3746781000000006</v>
      </c>
    </row>
    <row r="243" spans="1:5" x14ac:dyDescent="0.2">
      <c r="A243" s="1">
        <v>46235</v>
      </c>
      <c r="B243">
        <v>2</v>
      </c>
      <c r="C243">
        <v>1967</v>
      </c>
      <c r="D243">
        <v>8.3746781000000006</v>
      </c>
    </row>
    <row r="244" spans="1:5" x14ac:dyDescent="0.2">
      <c r="A244" s="1">
        <v>46235</v>
      </c>
      <c r="B244" t="s">
        <v>12</v>
      </c>
      <c r="C244">
        <f>938+30+30+30+50+53.76+21.5+43.06+43.01+60+55.48+48.28+55.98+36.66+102+84.1+121.64+106.75+97.7422+119.4076</f>
        <v>2127.3697999999999</v>
      </c>
      <c r="D244">
        <v>8.3746781000000006</v>
      </c>
      <c r="E244">
        <f>1000/D244</f>
        <v>119.40757460277786</v>
      </c>
    </row>
    <row r="245" spans="1:5" x14ac:dyDescent="0.2">
      <c r="A245" s="1">
        <v>46235</v>
      </c>
      <c r="B245" t="s">
        <v>13</v>
      </c>
      <c r="C245">
        <f>+-C244</f>
        <v>-2127.3697999999999</v>
      </c>
      <c r="D245">
        <v>8.3746781000000006</v>
      </c>
    </row>
    <row r="246" spans="1:5" x14ac:dyDescent="0.2">
      <c r="A246" s="1">
        <v>46235</v>
      </c>
      <c r="B246">
        <v>3</v>
      </c>
      <c r="C246">
        <v>0</v>
      </c>
      <c r="D246">
        <v>8.3746781000000006</v>
      </c>
    </row>
    <row r="247" spans="1:5" x14ac:dyDescent="0.2">
      <c r="A247" s="1">
        <v>46235</v>
      </c>
      <c r="B247">
        <v>4</v>
      </c>
      <c r="C247">
        <v>12</v>
      </c>
      <c r="D247">
        <v>8.3746781000000006</v>
      </c>
    </row>
    <row r="248" spans="1:5" x14ac:dyDescent="0.2">
      <c r="A248" s="1">
        <v>46235</v>
      </c>
      <c r="B248">
        <v>5</v>
      </c>
      <c r="C248">
        <v>2</v>
      </c>
      <c r="D248">
        <v>8.3746781000000006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D041-74A8-4B7B-984D-C0A1D90361BA}">
  <sheetPr codeName="Sheet3"/>
  <dimension ref="A1:B11"/>
  <sheetViews>
    <sheetView workbookViewId="0">
      <selection activeCell="F11" sqref="F11"/>
    </sheetView>
  </sheetViews>
  <sheetFormatPr defaultRowHeight="14.25" x14ac:dyDescent="0.2"/>
  <sheetData>
    <row r="1" spans="1:2" x14ac:dyDescent="0.2">
      <c r="A1" t="s">
        <v>1</v>
      </c>
      <c r="B1" t="s">
        <v>14</v>
      </c>
    </row>
    <row r="2" spans="1:2" x14ac:dyDescent="0.2">
      <c r="A2">
        <v>1</v>
      </c>
      <c r="B2">
        <v>120</v>
      </c>
    </row>
    <row r="3" spans="1:2" x14ac:dyDescent="0.2">
      <c r="A3">
        <v>2</v>
      </c>
      <c r="B3">
        <v>120</v>
      </c>
    </row>
    <row r="4" spans="1:2" x14ac:dyDescent="0.2">
      <c r="A4">
        <v>3</v>
      </c>
      <c r="B4">
        <v>80</v>
      </c>
    </row>
    <row r="5" spans="1:2" x14ac:dyDescent="0.2">
      <c r="A5">
        <v>4</v>
      </c>
      <c r="B5">
        <v>40</v>
      </c>
    </row>
    <row r="6" spans="1:2" x14ac:dyDescent="0.2">
      <c r="A6">
        <v>10</v>
      </c>
      <c r="B6">
        <v>1</v>
      </c>
    </row>
    <row r="7" spans="1:2" x14ac:dyDescent="0.2">
      <c r="A7" t="s">
        <v>8</v>
      </c>
      <c r="B7">
        <v>1</v>
      </c>
    </row>
    <row r="8" spans="1:2" x14ac:dyDescent="0.2">
      <c r="A8" t="s">
        <v>13</v>
      </c>
      <c r="B8">
        <v>1</v>
      </c>
    </row>
    <row r="9" spans="1:2" x14ac:dyDescent="0.2">
      <c r="A9" t="s">
        <v>7</v>
      </c>
      <c r="B9">
        <v>1</v>
      </c>
    </row>
    <row r="10" spans="1:2" x14ac:dyDescent="0.2">
      <c r="A10" t="s">
        <v>12</v>
      </c>
      <c r="B10">
        <v>1</v>
      </c>
    </row>
    <row r="11" spans="1:2" x14ac:dyDescent="0.2">
      <c r="A11" t="s">
        <v>6</v>
      </c>
      <c r="B1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1CC-FCDA-4D20-9E3B-ADE92AD1CEA8}">
  <sheetPr codeName="Sheet4"/>
  <dimension ref="A1:K20"/>
  <sheetViews>
    <sheetView tabSelected="1" zoomScale="115" zoomScaleNormal="115" zoomScaleSheetLayoutView="115" workbookViewId="0">
      <selection activeCell="H19" sqref="A1:H20"/>
    </sheetView>
  </sheetViews>
  <sheetFormatPr defaultColWidth="9" defaultRowHeight="27" customHeight="1" x14ac:dyDescent="0.2"/>
  <cols>
    <col min="1" max="1" width="10.25" style="4" customWidth="1"/>
    <col min="2" max="2" width="10.25" style="5" customWidth="1"/>
    <col min="3" max="8" width="10.25" style="2" customWidth="1"/>
    <col min="9" max="16384" width="9" style="2"/>
  </cols>
  <sheetData>
    <row r="1" spans="1:11" ht="27" customHeight="1" x14ac:dyDescent="0.2">
      <c r="A1" s="62" t="s">
        <v>15</v>
      </c>
      <c r="B1" s="62"/>
      <c r="C1" s="62"/>
      <c r="D1" s="62"/>
      <c r="E1" s="62"/>
      <c r="F1" s="62"/>
      <c r="G1" s="62"/>
      <c r="H1" s="62"/>
    </row>
    <row r="2" spans="1:11" ht="27" customHeight="1" x14ac:dyDescent="0.2">
      <c r="A2" s="62" t="s">
        <v>16</v>
      </c>
      <c r="B2" s="62"/>
      <c r="C2" s="62"/>
      <c r="D2" s="62"/>
      <c r="E2" s="62"/>
      <c r="F2" s="62"/>
      <c r="G2" s="62"/>
      <c r="H2" s="62"/>
    </row>
    <row r="3" spans="1:11" ht="27" customHeight="1" thickBot="1" x14ac:dyDescent="0.25">
      <c r="A3" s="3" t="s">
        <v>17</v>
      </c>
      <c r="B3" s="15">
        <v>46204</v>
      </c>
      <c r="C3" s="50" t="s">
        <v>18</v>
      </c>
      <c r="D3" s="66">
        <f>DATE(YEAR(B3),MONTH(B3)+1,1)</f>
        <v>46235</v>
      </c>
      <c r="E3" s="66"/>
      <c r="F3" s="50" t="s">
        <v>19</v>
      </c>
      <c r="G3" s="62">
        <f>DATE(YEAR(B3),MONTH(B3)+1,1)</f>
        <v>46235</v>
      </c>
      <c r="H3" s="62"/>
    </row>
    <row r="4" spans="1:11" ht="27" customHeight="1" x14ac:dyDescent="0.2">
      <c r="A4" s="63" t="s">
        <v>20</v>
      </c>
      <c r="B4" s="64"/>
      <c r="C4" s="64"/>
      <c r="D4" s="64"/>
      <c r="E4" s="64"/>
      <c r="F4" s="64"/>
      <c r="G4" s="64"/>
      <c r="H4" s="65"/>
    </row>
    <row r="5" spans="1:11" ht="27" customHeight="1" x14ac:dyDescent="0.2">
      <c r="A5" s="6" t="s">
        <v>1</v>
      </c>
      <c r="B5" s="7" t="s">
        <v>21</v>
      </c>
      <c r="C5" s="8" t="s">
        <v>22</v>
      </c>
      <c r="D5" s="8" t="s">
        <v>23</v>
      </c>
      <c r="E5" s="8" t="s">
        <v>14</v>
      </c>
      <c r="F5" s="8" t="s">
        <v>24</v>
      </c>
      <c r="G5" s="8" t="s">
        <v>25</v>
      </c>
      <c r="H5" s="9" t="s">
        <v>26</v>
      </c>
    </row>
    <row r="6" spans="1:11" ht="27" customHeight="1" x14ac:dyDescent="0.2">
      <c r="A6" s="10">
        <v>3</v>
      </c>
      <c r="B6" s="11">
        <f>SUMIFS(电表!$C:$C,电表!$B:$B,祺富单证!$A6,电表!$A:$A,祺富单证!$B$3)</f>
        <v>10457</v>
      </c>
      <c r="C6" s="11">
        <f>SUMIFS(电表!$C:$C,电表!$B:$B,祺富单证!$A6,电表!$A:$A,祺富单证!$D$3)</f>
        <v>10606</v>
      </c>
      <c r="D6" s="11">
        <f>+C6-B6</f>
        <v>149</v>
      </c>
      <c r="E6" s="11">
        <f>SUMIFS(倍率!$B:$B,倍率!$A:$A,祺富单证!$A6)</f>
        <v>80</v>
      </c>
      <c r="F6" s="11">
        <f>+E6*D6</f>
        <v>11920</v>
      </c>
      <c r="G6" s="11">
        <f>SUMIFS(电表!$D:$D,电表!$B:$B,祺富单证!$A6,电表!$A:$A,祺富单证!$D$3)</f>
        <v>1.1957111</v>
      </c>
      <c r="H6" s="12">
        <f>ROUND(G6*F6,0)</f>
        <v>14253</v>
      </c>
    </row>
    <row r="7" spans="1:11" ht="27" customHeight="1" x14ac:dyDescent="0.2">
      <c r="A7" s="33" t="s">
        <v>4</v>
      </c>
      <c r="B7" s="34">
        <f>SUMIFS(电表!$C:$C,电表!$B:$B,祺富单证!$A7,电表!$A:$A,祺富单证!$B$3)</f>
        <v>165455.98800000001</v>
      </c>
      <c r="C7" s="34">
        <f>SUMIFS(电表!$C:$C,电表!$B:$B,祺富单证!$A7,电表!$A:$A,祺富单证!$D$3)</f>
        <v>172146.56700000001</v>
      </c>
      <c r="D7" s="34">
        <f>+C7-B7</f>
        <v>6690.5789999999979</v>
      </c>
      <c r="E7" s="34">
        <f>SUMIFS(倍率!$B:$B,倍率!$A:$A,祺富单证!$A7)</f>
        <v>1</v>
      </c>
      <c r="F7" s="34">
        <f>+E7*D7</f>
        <v>6690.5789999999979</v>
      </c>
      <c r="G7" s="34">
        <f>SUMIFS(电表!$D:$D,电表!$B:$B,祺富单证!$A7,电表!$A:$A,祺富单证!$D$3)</f>
        <v>1.1957111</v>
      </c>
      <c r="H7" s="35">
        <f>ROUND(G7*F7,0)</f>
        <v>8000</v>
      </c>
    </row>
    <row r="8" spans="1:11" ht="27" customHeight="1" thickBot="1" x14ac:dyDescent="0.25">
      <c r="A8" s="60" t="s">
        <v>27</v>
      </c>
      <c r="B8" s="61"/>
      <c r="C8" s="61"/>
      <c r="D8" s="17">
        <f>SUM(D6:D7)</f>
        <v>6839.5789999999979</v>
      </c>
      <c r="E8" s="17"/>
      <c r="F8" s="17">
        <f>SUM(F6:F7)</f>
        <v>18610.578999999998</v>
      </c>
      <c r="G8" s="17"/>
      <c r="H8" s="19">
        <f>SUM(H6:H7)</f>
        <v>22253</v>
      </c>
    </row>
    <row r="9" spans="1:11" ht="13.5" customHeight="1" thickBot="1" x14ac:dyDescent="0.25">
      <c r="A9" s="3"/>
      <c r="B9" s="3"/>
      <c r="C9" s="3"/>
      <c r="D9" s="13"/>
      <c r="E9" s="13"/>
      <c r="F9" s="13"/>
      <c r="G9" s="13"/>
      <c r="H9" s="13"/>
    </row>
    <row r="10" spans="1:11" ht="27" customHeight="1" x14ac:dyDescent="0.2">
      <c r="A10" s="63" t="s">
        <v>28</v>
      </c>
      <c r="B10" s="64"/>
      <c r="C10" s="64"/>
      <c r="D10" s="64"/>
      <c r="E10" s="64"/>
      <c r="F10" s="64"/>
      <c r="G10" s="64"/>
      <c r="H10" s="65"/>
      <c r="K10" s="16"/>
    </row>
    <row r="11" spans="1:11" ht="27" customHeight="1" x14ac:dyDescent="0.2">
      <c r="A11" s="6" t="s">
        <v>1</v>
      </c>
      <c r="B11" s="7" t="s">
        <v>21</v>
      </c>
      <c r="C11" s="8" t="s">
        <v>22</v>
      </c>
      <c r="D11" s="8" t="s">
        <v>29</v>
      </c>
      <c r="E11" s="8" t="s">
        <v>14</v>
      </c>
      <c r="F11" s="8" t="s">
        <v>30</v>
      </c>
      <c r="G11" s="8" t="s">
        <v>25</v>
      </c>
      <c r="H11" s="9" t="s">
        <v>26</v>
      </c>
    </row>
    <row r="12" spans="1:11" ht="27" customHeight="1" x14ac:dyDescent="0.2">
      <c r="A12" s="10">
        <v>2</v>
      </c>
      <c r="B12" s="11">
        <f>SUMIFS(水表!$C:$C,水表!$B:$B,祺富单证!$A12,水表!$A:$A,祺富单证!$B$3)</f>
        <v>1963</v>
      </c>
      <c r="C12" s="11">
        <f>SUMIFS(水表!$C:$C,水表!$B:$B,祺富单证!$A12,水表!$A:$A,祺富单证!$D$3)</f>
        <v>1967</v>
      </c>
      <c r="D12" s="11">
        <f>+C12-B12</f>
        <v>4</v>
      </c>
      <c r="E12" s="11">
        <v>1</v>
      </c>
      <c r="F12" s="11">
        <f>+E12*D12</f>
        <v>4</v>
      </c>
      <c r="G12" s="11">
        <f>SUMIFS(水表!$D:$D,水表!$B:$B,祺富单证!$A12,水表!$A:$A,祺富单证!$D$3)</f>
        <v>8.3746781000000006</v>
      </c>
      <c r="H12" s="12">
        <f>ROUND(G12*F12,0)</f>
        <v>33</v>
      </c>
    </row>
    <row r="13" spans="1:11" ht="27" customHeight="1" x14ac:dyDescent="0.2">
      <c r="A13" s="39">
        <v>3</v>
      </c>
      <c r="B13" s="11">
        <f>SUMIFS(水表!$C:$C,水表!$B:$B,祺富单证!$A13,水表!$A:$A,祺富单证!$B$3)</f>
        <v>0</v>
      </c>
      <c r="C13" s="11">
        <f>SUMIFS(水表!$C:$C,水表!$B:$B,祺富单证!$A13,水表!$A:$A,祺富单证!$D$3)</f>
        <v>0</v>
      </c>
      <c r="D13" s="11">
        <f>+C13-B13</f>
        <v>0</v>
      </c>
      <c r="E13" s="11">
        <v>1</v>
      </c>
      <c r="F13" s="11">
        <f>+E13*D13</f>
        <v>0</v>
      </c>
      <c r="G13" s="11">
        <f>SUMIFS(水表!$D:$D,水表!$B:$B,祺富单证!$A13,水表!$A:$A,祺富单证!$D$3)</f>
        <v>8.3746781000000006</v>
      </c>
      <c r="H13" s="12">
        <f>ROUND(G13*F13,0)</f>
        <v>0</v>
      </c>
    </row>
    <row r="14" spans="1:11" ht="27" customHeight="1" x14ac:dyDescent="0.2">
      <c r="A14" s="33" t="s">
        <v>10</v>
      </c>
      <c r="B14" s="34">
        <f>SUMIFS(水表!$C:$C,水表!$B:$B,祺富单证!$A14,水表!$A:$A,祺富单证!$B$3)</f>
        <v>2007.9621999999999</v>
      </c>
      <c r="C14" s="34">
        <f>SUMIFS(水表!$C:$C,水表!$B:$B,祺富单证!$A14,水表!$A:$A,祺富单证!$D$3)</f>
        <v>2127.3697999999999</v>
      </c>
      <c r="D14" s="34">
        <f>+C14-B14</f>
        <v>119.4076</v>
      </c>
      <c r="E14" s="34">
        <v>1</v>
      </c>
      <c r="F14" s="34">
        <f>+E14*D14</f>
        <v>119.4076</v>
      </c>
      <c r="G14" s="34">
        <f>SUMIFS(水表!$D:$D,水表!$B:$B,祺富单证!$A14,水表!$A:$A,祺富单证!$D$3)</f>
        <v>8.3746781000000006</v>
      </c>
      <c r="H14" s="35">
        <f>ROUND(G14*F14,0)</f>
        <v>1000</v>
      </c>
    </row>
    <row r="15" spans="1:11" ht="27" customHeight="1" thickBot="1" x14ac:dyDescent="0.25">
      <c r="A15" s="60" t="s">
        <v>27</v>
      </c>
      <c r="B15" s="61"/>
      <c r="C15" s="61"/>
      <c r="D15" s="17">
        <f>SUM(D12:D14)</f>
        <v>123.4076</v>
      </c>
      <c r="E15" s="17"/>
      <c r="F15" s="17">
        <f t="shared" ref="F15:H15" si="0">SUM(F12:F14)</f>
        <v>123.4076</v>
      </c>
      <c r="G15" s="17"/>
      <c r="H15" s="18">
        <f t="shared" si="0"/>
        <v>1033</v>
      </c>
    </row>
    <row r="16" spans="1:11" ht="27" customHeight="1" thickBot="1" x14ac:dyDescent="0.25"/>
    <row r="17" spans="1:8" ht="27" customHeight="1" thickBot="1" x14ac:dyDescent="0.25">
      <c r="A17" s="57" t="s">
        <v>31</v>
      </c>
      <c r="B17" s="58"/>
      <c r="C17" s="58"/>
      <c r="D17" s="58"/>
      <c r="E17" s="58"/>
      <c r="F17" s="58"/>
      <c r="G17" s="58"/>
      <c r="H17" s="59"/>
    </row>
    <row r="18" spans="1:8" ht="27" customHeight="1" x14ac:dyDescent="0.2">
      <c r="A18" s="30" t="s">
        <v>32</v>
      </c>
      <c r="B18" s="31" t="s">
        <v>33</v>
      </c>
      <c r="C18" s="32" t="s">
        <v>34</v>
      </c>
      <c r="D18" s="32" t="s">
        <v>35</v>
      </c>
      <c r="E18" s="32" t="s">
        <v>27</v>
      </c>
      <c r="F18" s="32" t="s">
        <v>36</v>
      </c>
      <c r="G18" s="32" t="s">
        <v>25</v>
      </c>
      <c r="H18" s="37" t="s">
        <v>37</v>
      </c>
    </row>
    <row r="19" spans="1:8" ht="27" customHeight="1" x14ac:dyDescent="0.2">
      <c r="A19" s="24" t="s">
        <v>20</v>
      </c>
      <c r="B19" s="20">
        <f>+E19-D19</f>
        <v>19692.920353982303</v>
      </c>
      <c r="C19" s="21">
        <v>0.13</v>
      </c>
      <c r="D19" s="22">
        <f>E19-E19/(C19+1)</f>
        <v>2560.0796460176971</v>
      </c>
      <c r="E19" s="23">
        <f>+H8</f>
        <v>22253</v>
      </c>
      <c r="F19" s="23">
        <f>+F8</f>
        <v>18610.578999999998</v>
      </c>
      <c r="G19" s="20">
        <f>+E19/F19</f>
        <v>1.1957177689098228</v>
      </c>
      <c r="H19" s="55">
        <f>+E19+E20</f>
        <v>23286</v>
      </c>
    </row>
    <row r="20" spans="1:8" ht="27" customHeight="1" thickBot="1" x14ac:dyDescent="0.25">
      <c r="A20" s="25" t="s">
        <v>28</v>
      </c>
      <c r="B20" s="26">
        <f>+E20-D20</f>
        <v>947.70642201834858</v>
      </c>
      <c r="C20" s="27">
        <v>0.09</v>
      </c>
      <c r="D20" s="28">
        <f>E20-E20/(C20+1)</f>
        <v>85.293577981651424</v>
      </c>
      <c r="E20" s="29">
        <f>+H15</f>
        <v>1033</v>
      </c>
      <c r="F20" s="29">
        <f>+F15</f>
        <v>123.4076</v>
      </c>
      <c r="G20" s="26">
        <f>+E20/F20</f>
        <v>8.3706351958874485</v>
      </c>
      <c r="H20" s="56"/>
    </row>
  </sheetData>
  <mergeCells count="10">
    <mergeCell ref="A17:H17"/>
    <mergeCell ref="A15:C15"/>
    <mergeCell ref="A10:H10"/>
    <mergeCell ref="H19:H20"/>
    <mergeCell ref="A4:H4"/>
    <mergeCell ref="A2:H2"/>
    <mergeCell ref="A1:H1"/>
    <mergeCell ref="G3:H3"/>
    <mergeCell ref="A8:C8"/>
    <mergeCell ref="D3:E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B549-903F-4E9B-995B-5BFEA232CAA1}">
  <sheetPr codeName="Sheet5"/>
  <dimension ref="A1:H25"/>
  <sheetViews>
    <sheetView zoomScale="115" zoomScaleNormal="115" zoomScaleSheetLayoutView="130" workbookViewId="0">
      <selection activeCell="H24" sqref="A1:H25"/>
    </sheetView>
  </sheetViews>
  <sheetFormatPr defaultColWidth="9" defaultRowHeight="27" customHeight="1" x14ac:dyDescent="0.2"/>
  <cols>
    <col min="1" max="1" width="10.25" style="4" customWidth="1"/>
    <col min="2" max="2" width="10.25" style="5" customWidth="1"/>
    <col min="3" max="8" width="10.25" style="2" customWidth="1"/>
    <col min="9" max="16384" width="9" style="2"/>
  </cols>
  <sheetData>
    <row r="1" spans="1:8" ht="27" customHeight="1" x14ac:dyDescent="0.2">
      <c r="A1" s="62" t="s">
        <v>38</v>
      </c>
      <c r="B1" s="62"/>
      <c r="C1" s="62"/>
      <c r="D1" s="62"/>
      <c r="E1" s="62"/>
      <c r="F1" s="62"/>
      <c r="G1" s="62"/>
      <c r="H1" s="62"/>
    </row>
    <row r="2" spans="1:8" ht="27" customHeight="1" x14ac:dyDescent="0.2">
      <c r="A2" s="62" t="s">
        <v>16</v>
      </c>
      <c r="B2" s="62"/>
      <c r="C2" s="62"/>
      <c r="D2" s="62"/>
      <c r="E2" s="62"/>
      <c r="F2" s="62"/>
      <c r="G2" s="62"/>
      <c r="H2" s="62"/>
    </row>
    <row r="3" spans="1:8" ht="27" customHeight="1" thickBot="1" x14ac:dyDescent="0.25">
      <c r="A3" s="3" t="s">
        <v>17</v>
      </c>
      <c r="B3" s="15">
        <f>祺富单证!B3</f>
        <v>46204</v>
      </c>
      <c r="C3" s="50" t="s">
        <v>18</v>
      </c>
      <c r="D3" s="66">
        <f>+祺富单证!D3</f>
        <v>46235</v>
      </c>
      <c r="E3" s="66"/>
      <c r="F3" s="50" t="s">
        <v>19</v>
      </c>
      <c r="G3" s="62">
        <f>+祺富单证!G3</f>
        <v>46235</v>
      </c>
      <c r="H3" s="62"/>
    </row>
    <row r="4" spans="1:8" ht="27" customHeight="1" x14ac:dyDescent="0.2">
      <c r="A4" s="63" t="s">
        <v>20</v>
      </c>
      <c r="B4" s="64"/>
      <c r="C4" s="64"/>
      <c r="D4" s="64"/>
      <c r="E4" s="64"/>
      <c r="F4" s="64"/>
      <c r="G4" s="64"/>
      <c r="H4" s="65"/>
    </row>
    <row r="5" spans="1:8" ht="27" customHeight="1" x14ac:dyDescent="0.2">
      <c r="A5" s="6" t="s">
        <v>1</v>
      </c>
      <c r="B5" s="7" t="s">
        <v>21</v>
      </c>
      <c r="C5" s="8" t="s">
        <v>22</v>
      </c>
      <c r="D5" s="8" t="s">
        <v>23</v>
      </c>
      <c r="E5" s="8" t="s">
        <v>14</v>
      </c>
      <c r="F5" s="8" t="s">
        <v>24</v>
      </c>
      <c r="G5" s="8" t="s">
        <v>25</v>
      </c>
      <c r="H5" s="9" t="s">
        <v>26</v>
      </c>
    </row>
    <row r="6" spans="1:8" ht="27" customHeight="1" x14ac:dyDescent="0.2">
      <c r="A6" s="10">
        <v>1</v>
      </c>
      <c r="B6" s="11">
        <f>SUMIFS(电表!$C:$C,电表!$B:$B,吉众单证!$A6,电表!$A:$A,吉众单证!$B$3)</f>
        <v>2711</v>
      </c>
      <c r="C6" s="11">
        <f>SUMIFS(电表!$C:$C,电表!$B:$B,吉众单证!$A6,电表!$A:$A,吉众单证!$D$3)</f>
        <v>2780</v>
      </c>
      <c r="D6" s="11">
        <f>+C6-B6</f>
        <v>69</v>
      </c>
      <c r="E6" s="11">
        <f>SUMIFS(倍率!$B:$B,倍率!$A:$A,吉众单证!$A6)</f>
        <v>120</v>
      </c>
      <c r="F6" s="11">
        <f>+E6*D6</f>
        <v>8280</v>
      </c>
      <c r="G6" s="11">
        <f>SUMIFS(电表!$D:$D,电表!$B:$B,吉众单证!$A6,电表!$A:$A,吉众单证!$D$3)</f>
        <v>1.1957111</v>
      </c>
      <c r="H6" s="12">
        <f>ROUND(G6*F6,0)</f>
        <v>9900</v>
      </c>
    </row>
    <row r="7" spans="1:8" ht="27" customHeight="1" x14ac:dyDescent="0.2">
      <c r="A7" s="10">
        <v>2</v>
      </c>
      <c r="B7" s="11">
        <f>SUMIFS(电表!$C:$C,电表!$B:$B,吉众单证!$A7,电表!$A:$A,吉众单证!$B$3)</f>
        <v>6967</v>
      </c>
      <c r="C7" s="11">
        <f>SUMIFS(电表!$C:$C,电表!$B:$B,吉众单证!$A7,电表!$A:$A,吉众单证!$D$3)</f>
        <v>7150</v>
      </c>
      <c r="D7" s="11">
        <f>+C7-B7</f>
        <v>183</v>
      </c>
      <c r="E7" s="11">
        <f>SUMIFS(倍率!$B:$B,倍率!$A:$A,吉众单证!$A7)</f>
        <v>120</v>
      </c>
      <c r="F7" s="11">
        <f>+E7*D7</f>
        <v>21960</v>
      </c>
      <c r="G7" s="11">
        <f>SUMIFS(电表!$D:$D,电表!$B:$B,吉众单证!$A7,电表!$A:$A,吉众单证!$D$3)</f>
        <v>1.1957111</v>
      </c>
      <c r="H7" s="12">
        <f>ROUND(G7*F7,0)</f>
        <v>26258</v>
      </c>
    </row>
    <row r="8" spans="1:8" ht="27" customHeight="1" x14ac:dyDescent="0.2">
      <c r="A8" s="38">
        <v>4</v>
      </c>
      <c r="B8" s="11">
        <f>SUMIFS(电表!$C:$C,电表!$B:$B,吉众单证!$A8,电表!$A:$A,吉众单证!$B$3)</f>
        <v>624</v>
      </c>
      <c r="C8" s="11">
        <f>SUMIFS(电表!$C:$C,电表!$B:$B,吉众单证!$A8,电表!$A:$A,吉众单证!$D$3)</f>
        <v>631</v>
      </c>
      <c r="D8" s="11">
        <f>+C8-B8</f>
        <v>7</v>
      </c>
      <c r="E8" s="11">
        <f>SUMIFS(倍率!$B:$B,倍率!$A:$A,吉众单证!$A8)</f>
        <v>40</v>
      </c>
      <c r="F8" s="11">
        <f>+E8*D8</f>
        <v>280</v>
      </c>
      <c r="G8" s="11">
        <f>SUMIFS(电表!$D:$D,电表!$B:$B,吉众单证!$A8,电表!$A:$A,吉众单证!$D$3)</f>
        <v>1.1957111</v>
      </c>
      <c r="H8" s="12">
        <f>ROUND(G8*F8,0)</f>
        <v>335</v>
      </c>
    </row>
    <row r="9" spans="1:8" ht="27" customHeight="1" x14ac:dyDescent="0.2">
      <c r="A9" s="33" t="s">
        <v>6</v>
      </c>
      <c r="B9" s="34">
        <v>0</v>
      </c>
      <c r="C9" s="34">
        <f>SUMIFS(电表!$C:$C,电表!$B:$B,吉众单证!$A9,电表!$A:$A,吉众单证!$D$3)</f>
        <v>-100</v>
      </c>
      <c r="D9" s="34">
        <f>+C9-B9</f>
        <v>-100</v>
      </c>
      <c r="E9" s="34">
        <f>SUMIFS(倍率!$B:$B,倍率!$A:$A,吉众单证!$A9)</f>
        <v>1</v>
      </c>
      <c r="F9" s="34">
        <f>+E9*D9</f>
        <v>-100</v>
      </c>
      <c r="G9" s="34">
        <f>SUMIFS(电表!$D:$D,电表!$B:$B,吉众单证!$A9,电表!$A:$A,吉众单证!$D$3)</f>
        <v>1.1957111</v>
      </c>
      <c r="H9" s="35">
        <f>ROUND(G9*F9,0)</f>
        <v>-120</v>
      </c>
    </row>
    <row r="10" spans="1:8" ht="27" customHeight="1" x14ac:dyDescent="0.2">
      <c r="A10" s="67" t="s">
        <v>39</v>
      </c>
      <c r="B10" s="68"/>
      <c r="C10" s="69"/>
      <c r="D10" s="8">
        <f>+SUM(D6:D7)</f>
        <v>252</v>
      </c>
      <c r="E10" s="8"/>
      <c r="F10" s="8">
        <f>+SUM(F6:F9)</f>
        <v>30420</v>
      </c>
      <c r="G10" s="8"/>
      <c r="H10" s="9">
        <f>+SUM(H6:H9)</f>
        <v>36373</v>
      </c>
    </row>
    <row r="11" spans="1:8" ht="27" customHeight="1" x14ac:dyDescent="0.2">
      <c r="A11" s="33" t="s">
        <v>5</v>
      </c>
      <c r="B11" s="34">
        <f>SUMIFS(电表!$C:$C,电表!$B:$B,吉众单证!$A11,电表!$A:$A,吉众单证!$B$3)</f>
        <v>-165455.98800000001</v>
      </c>
      <c r="C11" s="34">
        <f>SUMIFS(电表!$C:$C,电表!$B:$B,吉众单证!$A11,电表!$A:$A,吉众单证!$D$3)</f>
        <v>-172146.56700000001</v>
      </c>
      <c r="D11" s="34">
        <f>+C11-B11</f>
        <v>-6690.5789999999979</v>
      </c>
      <c r="E11" s="34">
        <f>SUMIFS(倍率!$B:$B,倍率!$A:$A,吉众单证!$A11)</f>
        <v>1</v>
      </c>
      <c r="F11" s="34">
        <f>+E11*D11</f>
        <v>-6690.5789999999979</v>
      </c>
      <c r="G11" s="34">
        <f>SUMIFS(电表!$D:$D,电表!$B:$B,吉众单证!$A11,电表!$A:$A,吉众单证!$D$3)</f>
        <v>1.1957111</v>
      </c>
      <c r="H11" s="35">
        <f>ROUND(G11*F11,0)</f>
        <v>-8000</v>
      </c>
    </row>
    <row r="12" spans="1:8" ht="27" customHeight="1" thickBot="1" x14ac:dyDescent="0.25">
      <c r="A12" s="60" t="s">
        <v>27</v>
      </c>
      <c r="B12" s="61"/>
      <c r="C12" s="61"/>
      <c r="D12" s="17">
        <f>SUM(D6:D8)+D11</f>
        <v>-6431.5789999999979</v>
      </c>
      <c r="E12" s="17"/>
      <c r="F12" s="17">
        <f>F10+F11</f>
        <v>23729.421000000002</v>
      </c>
      <c r="G12" s="17"/>
      <c r="H12" s="18">
        <f>H10+H11</f>
        <v>28373</v>
      </c>
    </row>
    <row r="13" spans="1:8" ht="13.5" customHeight="1" thickBot="1" x14ac:dyDescent="0.25">
      <c r="A13" s="3"/>
      <c r="B13" s="3"/>
      <c r="C13" s="3"/>
      <c r="D13" s="13"/>
      <c r="E13" s="13"/>
      <c r="F13" s="50"/>
      <c r="G13" s="13"/>
      <c r="H13" s="13"/>
    </row>
    <row r="14" spans="1:8" ht="27" customHeight="1" x14ac:dyDescent="0.2">
      <c r="A14" s="63" t="s">
        <v>28</v>
      </c>
      <c r="B14" s="64"/>
      <c r="C14" s="64"/>
      <c r="D14" s="64"/>
      <c r="E14" s="64"/>
      <c r="F14" s="64"/>
      <c r="G14" s="64"/>
      <c r="H14" s="65"/>
    </row>
    <row r="15" spans="1:8" ht="27" customHeight="1" x14ac:dyDescent="0.2">
      <c r="A15" s="6" t="s">
        <v>1</v>
      </c>
      <c r="B15" s="7" t="s">
        <v>21</v>
      </c>
      <c r="C15" s="8" t="s">
        <v>22</v>
      </c>
      <c r="D15" s="8" t="s">
        <v>29</v>
      </c>
      <c r="E15" s="8" t="s">
        <v>14</v>
      </c>
      <c r="F15" s="8" t="s">
        <v>30</v>
      </c>
      <c r="G15" s="8" t="s">
        <v>25</v>
      </c>
      <c r="H15" s="9" t="s">
        <v>26</v>
      </c>
    </row>
    <row r="16" spans="1:8" ht="27" customHeight="1" x14ac:dyDescent="0.2">
      <c r="A16" s="10">
        <v>1</v>
      </c>
      <c r="B16" s="11">
        <f>SUMIFS(水表!$C:$C,水表!$B:$B,吉众单证!$A16,水表!$A:$A,吉众单证!$B$3)</f>
        <v>10356</v>
      </c>
      <c r="C16" s="11">
        <f>SUMIFS(水表!$C:$C,水表!$B:$B,吉众单证!$A16,水表!$A:$A,吉众单证!$D$3)</f>
        <v>10644</v>
      </c>
      <c r="D16" s="11">
        <f>+C16-B16</f>
        <v>288</v>
      </c>
      <c r="E16" s="11">
        <v>1</v>
      </c>
      <c r="F16" s="11">
        <f>+E16*D16</f>
        <v>288</v>
      </c>
      <c r="G16" s="11">
        <f>SUMIFS(水表!$D:$D,水表!$B:$B,吉众单证!$A16,水表!$A:$A,吉众单证!$D$3)</f>
        <v>8.3746781000000006</v>
      </c>
      <c r="H16" s="12">
        <f>ROUND(G16*F16,0)</f>
        <v>2412</v>
      </c>
    </row>
    <row r="17" spans="1:8" ht="27" customHeight="1" x14ac:dyDescent="0.2">
      <c r="A17" s="10">
        <v>4</v>
      </c>
      <c r="B17" s="11">
        <f>SUMIFS(水表!$C:$C,水表!$B:$B,吉众单证!$A17,水表!$A:$A,吉众单证!$B$3)</f>
        <v>12</v>
      </c>
      <c r="C17" s="11">
        <f>SUMIFS(水表!$C:$C,水表!$B:$B,吉众单证!$A17,水表!$A:$A,吉众单证!$D$3)</f>
        <v>12</v>
      </c>
      <c r="D17" s="11">
        <f>+C17-B17</f>
        <v>0</v>
      </c>
      <c r="E17" s="11">
        <v>1</v>
      </c>
      <c r="F17" s="11">
        <f>+E17*D17</f>
        <v>0</v>
      </c>
      <c r="G17" s="11">
        <f>SUMIFS(水表!$D:$D,水表!$B:$B,吉众单证!$A17,水表!$A:$A,吉众单证!$D$3)</f>
        <v>8.3746781000000006</v>
      </c>
      <c r="H17" s="12">
        <f>ROUND(G17*F17,0)</f>
        <v>0</v>
      </c>
    </row>
    <row r="18" spans="1:8" ht="27" customHeight="1" x14ac:dyDescent="0.2">
      <c r="A18" s="10">
        <v>5</v>
      </c>
      <c r="B18" s="11">
        <f>SUMIFS(水表!$C:$C,水表!$B:$B,吉众单证!$A18,水表!$A:$A,吉众单证!$B$3)</f>
        <v>2</v>
      </c>
      <c r="C18" s="11">
        <f>SUMIFS(水表!$C:$C,水表!$B:$B,吉众单证!$A18,水表!$A:$A,吉众单证!$D$3)</f>
        <v>2</v>
      </c>
      <c r="D18" s="11">
        <f>+C18-B18</f>
        <v>0</v>
      </c>
      <c r="E18" s="11">
        <v>1</v>
      </c>
      <c r="F18" s="11">
        <f>+E18*D18</f>
        <v>0</v>
      </c>
      <c r="G18" s="11">
        <f>SUMIFS(水表!$D:$D,水表!$B:$B,吉众单证!$A18,水表!$A:$A,吉众单证!$D$3)</f>
        <v>8.3746781000000006</v>
      </c>
      <c r="H18" s="12">
        <f>ROUND(G18*F18,0)</f>
        <v>0</v>
      </c>
    </row>
    <row r="19" spans="1:8" ht="27" customHeight="1" x14ac:dyDescent="0.2">
      <c r="A19" s="36" t="s">
        <v>11</v>
      </c>
      <c r="B19" s="34">
        <f>SUMIFS(水表!$C:$C,水表!$B:$B,吉众单证!$A19,水表!$A:$A,吉众单证!$B$3)</f>
        <v>-2007.9621999999999</v>
      </c>
      <c r="C19" s="34">
        <f>SUMIFS(水表!$C:$C,水表!$B:$B,吉众单证!$A19,水表!$A:$A,吉众单证!$D$3)</f>
        <v>-2127.3697999999999</v>
      </c>
      <c r="D19" s="34">
        <f>+C19-B19</f>
        <v>-119.4076</v>
      </c>
      <c r="E19" s="34">
        <v>1</v>
      </c>
      <c r="F19" s="34">
        <f>+E19*D19</f>
        <v>-119.4076</v>
      </c>
      <c r="G19" s="34">
        <f>SUMIFS(水表!$D:$D,水表!$B:$B,吉众单证!$A19,水表!$A:$A,吉众单证!$D$3)</f>
        <v>8.3746781000000006</v>
      </c>
      <c r="H19" s="35">
        <f>ROUND(G19*F19,0)</f>
        <v>-1000</v>
      </c>
    </row>
    <row r="20" spans="1:8" ht="27" customHeight="1" thickBot="1" x14ac:dyDescent="0.25">
      <c r="A20" s="60" t="s">
        <v>27</v>
      </c>
      <c r="B20" s="61"/>
      <c r="C20" s="61"/>
      <c r="D20" s="17">
        <f>SUM(D16:D19)</f>
        <v>168.5924</v>
      </c>
      <c r="E20" s="17"/>
      <c r="F20" s="17">
        <f>SUM(F16:F19)</f>
        <v>168.5924</v>
      </c>
      <c r="G20" s="17"/>
      <c r="H20" s="18">
        <f>SUM(H16:H19)</f>
        <v>1412</v>
      </c>
    </row>
    <row r="21" spans="1:8" ht="27" customHeight="1" thickBot="1" x14ac:dyDescent="0.25">
      <c r="H21" s="14"/>
    </row>
    <row r="22" spans="1:8" ht="27" customHeight="1" thickBot="1" x14ac:dyDescent="0.25">
      <c r="A22" s="57" t="s">
        <v>40</v>
      </c>
      <c r="B22" s="58"/>
      <c r="C22" s="58"/>
      <c r="D22" s="58"/>
      <c r="E22" s="58"/>
      <c r="F22" s="58"/>
      <c r="G22" s="58"/>
      <c r="H22" s="59"/>
    </row>
    <row r="23" spans="1:8" ht="27" customHeight="1" x14ac:dyDescent="0.2">
      <c r="A23" s="30" t="s">
        <v>32</v>
      </c>
      <c r="B23" s="31" t="s">
        <v>33</v>
      </c>
      <c r="C23" s="32" t="s">
        <v>34</v>
      </c>
      <c r="D23" s="32" t="s">
        <v>35</v>
      </c>
      <c r="E23" s="32" t="s">
        <v>27</v>
      </c>
      <c r="F23" s="32" t="s">
        <v>36</v>
      </c>
      <c r="G23" s="32" t="s">
        <v>41</v>
      </c>
      <c r="H23" s="37" t="s">
        <v>37</v>
      </c>
    </row>
    <row r="24" spans="1:8" ht="27" customHeight="1" x14ac:dyDescent="0.2">
      <c r="A24" s="24" t="s">
        <v>20</v>
      </c>
      <c r="B24" s="20">
        <f>+E24-D24</f>
        <v>25108.849557522128</v>
      </c>
      <c r="C24" s="21">
        <v>0.13</v>
      </c>
      <c r="D24" s="22">
        <f>E24-E24/(C24+1)</f>
        <v>3264.1504424778723</v>
      </c>
      <c r="E24" s="23">
        <f>+H12</f>
        <v>28373</v>
      </c>
      <c r="F24" s="23">
        <f>+F12</f>
        <v>23729.421000000002</v>
      </c>
      <c r="G24" s="20">
        <f>+E24/F24</f>
        <v>1.1956886769382193</v>
      </c>
      <c r="H24" s="55">
        <f>+E24+E25</f>
        <v>29785</v>
      </c>
    </row>
    <row r="25" spans="1:8" ht="27" customHeight="1" thickBot="1" x14ac:dyDescent="0.25">
      <c r="A25" s="25" t="s">
        <v>28</v>
      </c>
      <c r="B25" s="26">
        <f>+E25-D25</f>
        <v>1295.4128440366972</v>
      </c>
      <c r="C25" s="27">
        <v>0.09</v>
      </c>
      <c r="D25" s="28">
        <f>E25-E25/(C25+1)</f>
        <v>116.58715596330285</v>
      </c>
      <c r="E25" s="29">
        <f>+H20</f>
        <v>1412</v>
      </c>
      <c r="F25" s="29">
        <f>+F20</f>
        <v>168.5924</v>
      </c>
      <c r="G25" s="26">
        <f>+E25/F25</f>
        <v>8.3752292511406203</v>
      </c>
      <c r="H25" s="56"/>
    </row>
  </sheetData>
  <mergeCells count="11">
    <mergeCell ref="H24:H25"/>
    <mergeCell ref="A22:H22"/>
    <mergeCell ref="A20:C20"/>
    <mergeCell ref="A1:H1"/>
    <mergeCell ref="A2:H2"/>
    <mergeCell ref="G3:H3"/>
    <mergeCell ref="A4:H4"/>
    <mergeCell ref="A12:C12"/>
    <mergeCell ref="A14:H14"/>
    <mergeCell ref="D3:E3"/>
    <mergeCell ref="A10:C1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3B0F-574B-45A5-B18D-59C08BE53DC6}">
  <sheetPr codeName="Sheet8"/>
  <dimension ref="A1:H17"/>
  <sheetViews>
    <sheetView workbookViewId="0">
      <selection activeCell="H25" sqref="H25"/>
    </sheetView>
  </sheetViews>
  <sheetFormatPr defaultColWidth="9" defaultRowHeight="14.25" x14ac:dyDescent="0.2"/>
  <cols>
    <col min="1" max="1" width="10.25" style="4" customWidth="1"/>
    <col min="2" max="2" width="10.25" style="5" customWidth="1"/>
    <col min="3" max="8" width="10.25" style="2" customWidth="1"/>
    <col min="9" max="16384" width="9" style="2"/>
  </cols>
  <sheetData>
    <row r="1" spans="1:8" ht="27" customHeight="1" x14ac:dyDescent="0.2">
      <c r="A1" s="62" t="s">
        <v>27</v>
      </c>
      <c r="B1" s="62"/>
      <c r="C1" s="62"/>
      <c r="D1" s="62"/>
      <c r="E1" s="62"/>
      <c r="F1" s="62"/>
      <c r="G1" s="62"/>
      <c r="H1" s="62"/>
    </row>
    <row r="2" spans="1:8" ht="27" customHeight="1" x14ac:dyDescent="0.2">
      <c r="A2" s="62" t="s">
        <v>16</v>
      </c>
      <c r="B2" s="62"/>
      <c r="C2" s="62"/>
      <c r="D2" s="62"/>
      <c r="E2" s="62"/>
      <c r="F2" s="62"/>
      <c r="G2" s="62"/>
      <c r="H2" s="62"/>
    </row>
    <row r="3" spans="1:8" ht="27" customHeight="1" thickBot="1" x14ac:dyDescent="0.25">
      <c r="A3" s="3" t="s">
        <v>17</v>
      </c>
      <c r="B3" s="15">
        <f>+祺富单证!B3</f>
        <v>46204</v>
      </c>
      <c r="C3" s="50" t="s">
        <v>18</v>
      </c>
      <c r="D3" s="66">
        <f>+祺富单证!D3</f>
        <v>46235</v>
      </c>
      <c r="E3" s="66"/>
      <c r="F3" s="50" t="s">
        <v>19</v>
      </c>
      <c r="G3" s="62">
        <f>+祺富单证!G3</f>
        <v>46235</v>
      </c>
      <c r="H3" s="62"/>
    </row>
    <row r="4" spans="1:8" ht="27" customHeight="1" x14ac:dyDescent="0.2">
      <c r="A4" s="63" t="s">
        <v>20</v>
      </c>
      <c r="B4" s="64"/>
      <c r="C4" s="64"/>
      <c r="D4" s="64"/>
      <c r="E4" s="64"/>
      <c r="F4" s="64"/>
      <c r="G4" s="64"/>
      <c r="H4" s="65"/>
    </row>
    <row r="5" spans="1:8" ht="27" customHeight="1" x14ac:dyDescent="0.2">
      <c r="A5" s="6" t="s">
        <v>1</v>
      </c>
      <c r="B5" s="7" t="s">
        <v>21</v>
      </c>
      <c r="C5" s="8" t="s">
        <v>22</v>
      </c>
      <c r="D5" s="8" t="s">
        <v>23</v>
      </c>
      <c r="E5" s="8" t="s">
        <v>14</v>
      </c>
      <c r="F5" s="8" t="s">
        <v>24</v>
      </c>
      <c r="G5" s="8" t="s">
        <v>25</v>
      </c>
      <c r="H5" s="9" t="s">
        <v>26</v>
      </c>
    </row>
    <row r="6" spans="1:8" ht="27.6" customHeight="1" x14ac:dyDescent="0.2">
      <c r="A6" s="10" t="s">
        <v>27</v>
      </c>
      <c r="B6" s="11"/>
      <c r="C6" s="11"/>
      <c r="D6" s="11"/>
      <c r="E6" s="11"/>
      <c r="F6" s="11">
        <f>+吉众单证!F12+祺富单证!F8</f>
        <v>42340</v>
      </c>
      <c r="G6" s="11">
        <f>SUMIFS(电表!$D:$D,电表!$B:$B,吉众单证!$A6,电表!$A:$A,吉众单证!$D$3)</f>
        <v>1.1957111</v>
      </c>
      <c r="H6" s="12">
        <f>ROUND(G6*F6,0)</f>
        <v>50626</v>
      </c>
    </row>
    <row r="7" spans="1:8" ht="27" customHeight="1" thickBot="1" x14ac:dyDescent="0.25">
      <c r="A7" s="60" t="s">
        <v>27</v>
      </c>
      <c r="B7" s="61"/>
      <c r="C7" s="61"/>
      <c r="D7" s="17"/>
      <c r="E7" s="17"/>
      <c r="F7" s="17">
        <f>+F6</f>
        <v>42340</v>
      </c>
      <c r="G7" s="17"/>
      <c r="H7" s="18">
        <f>+H6</f>
        <v>50626</v>
      </c>
    </row>
    <row r="8" spans="1:8" ht="13.5" customHeight="1" thickBot="1" x14ac:dyDescent="0.25">
      <c r="A8" s="3"/>
      <c r="B8" s="3"/>
      <c r="C8" s="3"/>
      <c r="D8" s="13"/>
      <c r="E8" s="13"/>
      <c r="F8" s="50"/>
      <c r="G8" s="13"/>
      <c r="H8" s="13"/>
    </row>
    <row r="9" spans="1:8" ht="27" customHeight="1" x14ac:dyDescent="0.2">
      <c r="A9" s="63" t="s">
        <v>28</v>
      </c>
      <c r="B9" s="64"/>
      <c r="C9" s="64"/>
      <c r="D9" s="64"/>
      <c r="E9" s="64"/>
      <c r="F9" s="64"/>
      <c r="G9" s="64"/>
      <c r="H9" s="65"/>
    </row>
    <row r="10" spans="1:8" ht="27" customHeight="1" x14ac:dyDescent="0.2">
      <c r="A10" s="6" t="s">
        <v>1</v>
      </c>
      <c r="B10" s="7" t="s">
        <v>21</v>
      </c>
      <c r="C10" s="8" t="s">
        <v>22</v>
      </c>
      <c r="D10" s="8" t="s">
        <v>29</v>
      </c>
      <c r="E10" s="8" t="s">
        <v>14</v>
      </c>
      <c r="F10" s="8" t="s">
        <v>30</v>
      </c>
      <c r="G10" s="8" t="s">
        <v>25</v>
      </c>
      <c r="H10" s="9" t="s">
        <v>26</v>
      </c>
    </row>
    <row r="11" spans="1:8" ht="27" customHeight="1" x14ac:dyDescent="0.2">
      <c r="A11" s="10" t="s">
        <v>27</v>
      </c>
      <c r="B11" s="11"/>
      <c r="C11" s="11"/>
      <c r="D11" s="11">
        <f>+C11-B11</f>
        <v>0</v>
      </c>
      <c r="E11" s="11">
        <v>1</v>
      </c>
      <c r="F11" s="11">
        <f>+吉众单证!F20+祺富单证!F15</f>
        <v>292</v>
      </c>
      <c r="G11" s="11">
        <f>SUMIFS(水表!$D:$D,水表!$B:$B,吉众单证!$A16,水表!$A:$A,吉众单证!$D$3)</f>
        <v>8.3746781000000006</v>
      </c>
      <c r="H11" s="12">
        <f>ROUND(G11*F11,0)</f>
        <v>2445</v>
      </c>
    </row>
    <row r="12" spans="1:8" ht="27" customHeight="1" thickBot="1" x14ac:dyDescent="0.25">
      <c r="A12" s="60" t="s">
        <v>27</v>
      </c>
      <c r="B12" s="61"/>
      <c r="C12" s="61"/>
      <c r="D12" s="17">
        <f>SUM(D11:D11)</f>
        <v>0</v>
      </c>
      <c r="E12" s="17"/>
      <c r="F12" s="17">
        <f>SUM(F11:F11)</f>
        <v>292</v>
      </c>
      <c r="G12" s="17"/>
      <c r="H12" s="18">
        <f>SUM(H11:H11)</f>
        <v>2445</v>
      </c>
    </row>
    <row r="13" spans="1:8" ht="27" customHeight="1" thickBot="1" x14ac:dyDescent="0.25">
      <c r="H13" s="14"/>
    </row>
    <row r="14" spans="1:8" ht="27" customHeight="1" thickBot="1" x14ac:dyDescent="0.25">
      <c r="A14" s="57" t="s">
        <v>40</v>
      </c>
      <c r="B14" s="58"/>
      <c r="C14" s="58"/>
      <c r="D14" s="58"/>
      <c r="E14" s="58"/>
      <c r="F14" s="58"/>
      <c r="G14" s="58"/>
      <c r="H14" s="59"/>
    </row>
    <row r="15" spans="1:8" ht="27" customHeight="1" x14ac:dyDescent="0.2">
      <c r="A15" s="30" t="s">
        <v>32</v>
      </c>
      <c r="B15" s="31" t="s">
        <v>33</v>
      </c>
      <c r="C15" s="32" t="s">
        <v>34</v>
      </c>
      <c r="D15" s="32" t="s">
        <v>35</v>
      </c>
      <c r="E15" s="32" t="s">
        <v>27</v>
      </c>
      <c r="F15" s="32" t="s">
        <v>36</v>
      </c>
      <c r="G15" s="32" t="s">
        <v>41</v>
      </c>
      <c r="H15" s="37" t="s">
        <v>37</v>
      </c>
    </row>
    <row r="16" spans="1:8" ht="27" customHeight="1" x14ac:dyDescent="0.2">
      <c r="A16" s="24" t="s">
        <v>20</v>
      </c>
      <c r="B16" s="20">
        <f>+E16-D16</f>
        <v>44801.769911504431</v>
      </c>
      <c r="C16" s="21">
        <v>0.13</v>
      </c>
      <c r="D16" s="22">
        <f>E16-E16/(C16+1)</f>
        <v>5824.2300884955694</v>
      </c>
      <c r="E16" s="23">
        <f>+H7</f>
        <v>50626</v>
      </c>
      <c r="F16" s="23">
        <f>+F7</f>
        <v>42340</v>
      </c>
      <c r="G16" s="20">
        <f>+E16/F16</f>
        <v>1.1957014643363251</v>
      </c>
      <c r="H16" s="55">
        <f>+E16+E17</f>
        <v>53071</v>
      </c>
    </row>
    <row r="17" spans="1:8" ht="27" customHeight="1" thickBot="1" x14ac:dyDescent="0.25">
      <c r="A17" s="25" t="s">
        <v>28</v>
      </c>
      <c r="B17" s="26">
        <f>+E17-D17</f>
        <v>2243.1192660550455</v>
      </c>
      <c r="C17" s="27">
        <v>0.09</v>
      </c>
      <c r="D17" s="28">
        <f>E17-E17/(C17+1)</f>
        <v>201.8807339449545</v>
      </c>
      <c r="E17" s="29">
        <f>+H12</f>
        <v>2445</v>
      </c>
      <c r="F17" s="29">
        <f>+F12</f>
        <v>292</v>
      </c>
      <c r="G17" s="26">
        <f>+E17/F17</f>
        <v>8.3732876712328768</v>
      </c>
      <c r="H17" s="56"/>
    </row>
  </sheetData>
  <mergeCells count="10">
    <mergeCell ref="A7:C7"/>
    <mergeCell ref="A9:H9"/>
    <mergeCell ref="A12:C12"/>
    <mergeCell ref="A14:H14"/>
    <mergeCell ref="H16:H17"/>
    <mergeCell ref="A1:H1"/>
    <mergeCell ref="A2:H2"/>
    <mergeCell ref="D3:E3"/>
    <mergeCell ref="G3:H3"/>
    <mergeCell ref="A4:H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AF5F-9A8F-41C2-8428-CD50DF5184A6}">
  <sheetPr codeName="Sheet7"/>
  <dimension ref="A1:AB47"/>
  <sheetViews>
    <sheetView zoomScale="85" zoomScaleNormal="85" workbookViewId="0">
      <pane ySplit="4" topLeftCell="A14" activePane="bottomLeft" state="frozen"/>
      <selection pane="bottomLeft" activeCell="J34" sqref="J34"/>
    </sheetView>
  </sheetViews>
  <sheetFormatPr defaultColWidth="7.875" defaultRowHeight="18.75" customHeight="1" x14ac:dyDescent="0.2"/>
  <cols>
    <col min="1" max="1" width="11.875" style="40" customWidth="1"/>
    <col min="2" max="2" width="11" style="40" customWidth="1"/>
    <col min="3" max="7" width="7.875" style="41"/>
    <col min="8" max="8" width="7.875" style="47"/>
    <col min="9" max="9" width="7.875" style="41"/>
    <col min="10" max="10" width="7.875" style="47"/>
    <col min="11" max="14" width="7.875" style="41"/>
    <col min="15" max="15" width="7.875" style="47"/>
    <col min="16" max="16" width="7.875" style="41"/>
    <col min="17" max="17" width="7.875" style="47"/>
    <col min="18" max="19" width="7.875" style="41"/>
    <col min="20" max="20" width="7.875" style="47"/>
    <col min="21" max="21" width="7.875" style="41"/>
    <col min="22" max="22" width="7.875" style="47"/>
    <col min="23" max="25" width="7.875" style="41"/>
    <col min="26" max="26" width="7.875" style="47"/>
    <col min="27" max="27" width="7.875" style="41"/>
    <col min="28" max="28" width="7.875" style="47"/>
    <col min="29" max="16384" width="7.875" style="41"/>
  </cols>
  <sheetData>
    <row r="1" spans="1:28" ht="18.75" customHeight="1" x14ac:dyDescent="0.2">
      <c r="A1" s="44"/>
      <c r="B1" s="44"/>
      <c r="C1" s="70" t="s">
        <v>42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 t="s">
        <v>43</v>
      </c>
      <c r="S1" s="70"/>
      <c r="T1" s="70"/>
      <c r="U1" s="70"/>
      <c r="V1" s="70"/>
      <c r="W1" s="70"/>
      <c r="X1" s="70"/>
      <c r="Y1" s="70"/>
      <c r="Z1" s="70"/>
      <c r="AA1" s="45"/>
      <c r="AB1" s="49"/>
    </row>
    <row r="2" spans="1:28" ht="18.75" customHeight="1" x14ac:dyDescent="0.2">
      <c r="A2" s="44"/>
      <c r="B2" s="44"/>
      <c r="C2" s="70" t="s">
        <v>44</v>
      </c>
      <c r="D2" s="70"/>
      <c r="E2" s="70"/>
      <c r="F2" s="70"/>
      <c r="G2" s="70"/>
      <c r="H2" s="70"/>
      <c r="I2" s="70"/>
      <c r="J2" s="70"/>
      <c r="K2" s="70" t="s">
        <v>45</v>
      </c>
      <c r="L2" s="70"/>
      <c r="M2" s="70"/>
      <c r="N2" s="70"/>
      <c r="O2" s="70"/>
      <c r="P2" s="70"/>
      <c r="Q2" s="70"/>
      <c r="R2" s="70" t="s">
        <v>20</v>
      </c>
      <c r="S2" s="70"/>
      <c r="T2" s="70"/>
      <c r="U2" s="70"/>
      <c r="V2" s="70"/>
      <c r="W2" s="70" t="s">
        <v>28</v>
      </c>
      <c r="X2" s="70"/>
      <c r="Y2" s="70"/>
      <c r="Z2" s="70"/>
      <c r="AA2" s="45"/>
      <c r="AB2" s="49"/>
    </row>
    <row r="3" spans="1:28" ht="18.75" customHeight="1" x14ac:dyDescent="0.2">
      <c r="A3" s="44" t="s">
        <v>0</v>
      </c>
      <c r="B3" s="44" t="s">
        <v>0</v>
      </c>
      <c r="C3" s="53">
        <v>1</v>
      </c>
      <c r="D3" s="53">
        <v>2</v>
      </c>
      <c r="E3" s="53">
        <v>4</v>
      </c>
      <c r="F3" s="54" t="s">
        <v>6</v>
      </c>
      <c r="G3" s="54" t="s">
        <v>8</v>
      </c>
      <c r="H3" s="74" t="s">
        <v>46</v>
      </c>
      <c r="I3" s="73" t="s">
        <v>25</v>
      </c>
      <c r="J3" s="74" t="s">
        <v>47</v>
      </c>
      <c r="K3" s="72">
        <v>1</v>
      </c>
      <c r="L3" s="72">
        <v>4</v>
      </c>
      <c r="M3" s="72">
        <v>5</v>
      </c>
      <c r="N3" s="72" t="s">
        <v>13</v>
      </c>
      <c r="O3" s="74" t="s">
        <v>48</v>
      </c>
      <c r="P3" s="70" t="s">
        <v>25</v>
      </c>
      <c r="Q3" s="74" t="s">
        <v>49</v>
      </c>
      <c r="R3" s="53">
        <v>3</v>
      </c>
      <c r="S3" s="54" t="s">
        <v>4</v>
      </c>
      <c r="T3" s="74" t="s">
        <v>46</v>
      </c>
      <c r="U3" s="73" t="s">
        <v>25</v>
      </c>
      <c r="V3" s="74" t="s">
        <v>47</v>
      </c>
      <c r="W3" s="72">
        <v>2</v>
      </c>
      <c r="X3" s="72">
        <v>3</v>
      </c>
      <c r="Y3" s="73" t="s">
        <v>10</v>
      </c>
      <c r="Z3" s="74" t="s">
        <v>48</v>
      </c>
      <c r="AA3" s="70" t="s">
        <v>25</v>
      </c>
      <c r="AB3" s="71" t="s">
        <v>49</v>
      </c>
    </row>
    <row r="4" spans="1:28" ht="18.75" customHeight="1" x14ac:dyDescent="0.2">
      <c r="A4" s="44" t="s">
        <v>50</v>
      </c>
      <c r="B4" s="44" t="s">
        <v>51</v>
      </c>
      <c r="C4" s="51">
        <f>SUMIFS(倍率!$B:$B,倍率!$A:$A,吉众单证!$A6)</f>
        <v>120</v>
      </c>
      <c r="D4" s="51">
        <f>SUMIFS(倍率!$B:$B,倍率!$A:$A,吉众单证!$A7)</f>
        <v>120</v>
      </c>
      <c r="E4" s="51">
        <f>SUMIFS(倍率!$B:$B,倍率!$A:$A,吉众单证!$A8)</f>
        <v>40</v>
      </c>
      <c r="F4" s="42">
        <f>SUMIFS(倍率!$B:$B,倍率!$A:$A,吉众单证!$A9)</f>
        <v>1</v>
      </c>
      <c r="G4" s="42">
        <v>1</v>
      </c>
      <c r="H4" s="74"/>
      <c r="I4" s="73"/>
      <c r="J4" s="74"/>
      <c r="K4" s="72"/>
      <c r="L4" s="72"/>
      <c r="M4" s="72"/>
      <c r="N4" s="72"/>
      <c r="O4" s="74"/>
      <c r="P4" s="70"/>
      <c r="Q4" s="74"/>
      <c r="R4" s="42">
        <v>80</v>
      </c>
      <c r="S4" s="42">
        <v>1</v>
      </c>
      <c r="T4" s="74"/>
      <c r="U4" s="73"/>
      <c r="V4" s="74"/>
      <c r="W4" s="72"/>
      <c r="X4" s="72"/>
      <c r="Y4" s="73"/>
      <c r="Z4" s="74"/>
      <c r="AA4" s="70"/>
      <c r="AB4" s="71"/>
    </row>
    <row r="5" spans="1:28" ht="18.75" customHeight="1" x14ac:dyDescent="0.2">
      <c r="A5" s="43">
        <v>44866</v>
      </c>
      <c r="B5" s="43">
        <v>44896</v>
      </c>
      <c r="C5" s="51">
        <f>SUMIFS(电表!$C:$C,电表!$B:$B,C$3,电表!$A:$A,$B5)</f>
        <v>677</v>
      </c>
      <c r="D5" s="51">
        <f>SUMIFS(电表!$C:$C,电表!$B:$B,D$3,电表!$A:$A,$B5)</f>
        <v>1400</v>
      </c>
      <c r="E5" s="51">
        <f>SUMIFS(电表!$C:$C,电表!$B:$B,E$3,电表!$A:$A,$B5)</f>
        <v>0</v>
      </c>
      <c r="F5" s="51">
        <f>SUMIFS(电表!$C:$C,电表!$B:$B,F$3,电表!$A:$A,$B5)</f>
        <v>0</v>
      </c>
      <c r="G5" s="51">
        <f>SUMIFS(电表!$C:$C,电表!$B:$B,G$3,电表!$A:$A,$B5)</f>
        <v>0</v>
      </c>
      <c r="H5" s="52"/>
      <c r="I5" s="51">
        <f>SUMIFS(电表!$D:$D,电表!$B:$B,C$3,电表!$A:$A,$B4)</f>
        <v>0</v>
      </c>
      <c r="J5" s="52"/>
      <c r="K5" s="51">
        <f>SUMIFS(水表!$C:$C,水表!$B:$B,K$3,水表!$A:$A,$B5)</f>
        <v>2828</v>
      </c>
      <c r="L5" s="51">
        <f>SUMIFS(水表!$C:$C,水表!$B:$B,L$3,水表!$A:$A,$B5)</f>
        <v>0</v>
      </c>
      <c r="M5" s="51">
        <f>SUMIFS(水表!$C:$C,水表!$B:$B,M$3,水表!$A:$A,$B5)</f>
        <v>0</v>
      </c>
      <c r="N5" s="51">
        <f>SUMIFS(水表!$C:$C,水表!$B:$B,N$3,水表!$A:$A,$B5)</f>
        <v>0</v>
      </c>
      <c r="O5" s="52"/>
      <c r="P5" s="46"/>
      <c r="Q5" s="48"/>
      <c r="R5" s="51">
        <f>SUMIFS(电表!$C:$C,电表!$B:$B,R$3,电表!$A:$A,$B5)</f>
        <v>2868</v>
      </c>
      <c r="S5" s="51">
        <f>SUMIFS(电表!$C:$C,电表!$B:$B,S$3,电表!$A:$A,$B5)</f>
        <v>0</v>
      </c>
      <c r="T5" s="52"/>
      <c r="U5" s="51">
        <f>+I5</f>
        <v>0</v>
      </c>
      <c r="V5" s="52">
        <f>SUMIFS(电表!$C:$C,电表!$B:$B,V$3,电表!$A:$A,$B5)</f>
        <v>0</v>
      </c>
      <c r="W5" s="51">
        <f>SUMIFS(水表!$C:$C,水表!$B:$B,W$3,水表!$A:$A,$B5)</f>
        <v>1007</v>
      </c>
      <c r="X5" s="51">
        <f>SUMIFS(水表!$C:$C,水表!$B:$B,X$3,水表!$A:$A,$B5)</f>
        <v>0</v>
      </c>
      <c r="Y5" s="51">
        <f>SUMIFS(水表!$C:$C,水表!$B:$B,Y$3,水表!$A:$A,$B5)</f>
        <v>0</v>
      </c>
      <c r="Z5" s="52">
        <f>SUMIFS(电表!$C:$C,电表!$B:$B,Z$3,电表!$A:$A,$B5)</f>
        <v>0</v>
      </c>
      <c r="AA5" s="51"/>
      <c r="AB5" s="48"/>
    </row>
    <row r="6" spans="1:28" ht="18.75" customHeight="1" x14ac:dyDescent="0.2">
      <c r="A6" s="43">
        <f>DATE(YEAR(A5), MONTH(A5) + 1, DAY(A5))</f>
        <v>44896</v>
      </c>
      <c r="B6" s="43">
        <f>DATE(YEAR(B5), MONTH(B5) + 1, DAY(B5))</f>
        <v>44927</v>
      </c>
      <c r="C6" s="51">
        <f>SUMIFS(电表!$C:$C,电表!$B:$B,C$3,电表!$A:$A,$B6)</f>
        <v>729</v>
      </c>
      <c r="D6" s="51">
        <f>SUMIFS(电表!$C:$C,电表!$B:$B,D$3,电表!$A:$A,$B6)</f>
        <v>1508</v>
      </c>
      <c r="E6" s="51">
        <f>SUMIFS(电表!$C:$C,电表!$B:$B,E$3,电表!$A:$A,$B6)</f>
        <v>0</v>
      </c>
      <c r="F6" s="51">
        <f>SUMIFS(电表!$C:$C,电表!$B:$B,F$3,电表!$A:$A,$B6)</f>
        <v>0</v>
      </c>
      <c r="G6" s="51">
        <f>SUMIFS(电表!$C:$C,电表!$B:$B,G$3,电表!$A:$A,$B6)</f>
        <v>0</v>
      </c>
      <c r="H6" s="52">
        <f>+(C6-C5)*C$4+(D6-D5)*D$4+(E6-E5)*E$4+(F6-F5)*F$4+(G6-G5)*G$4</f>
        <v>19200</v>
      </c>
      <c r="I6" s="51">
        <f>SUMIFS(电表!$D:$D,电表!$B:$B,C$3,电表!$A:$A,$B6)</f>
        <v>0.95514658500000005</v>
      </c>
      <c r="J6" s="52">
        <f>ROUND(H6*I6,2)</f>
        <v>18338.810000000001</v>
      </c>
      <c r="K6" s="51">
        <f>SUMIFS(水表!$C:$C,水表!$B:$B,K$3,水表!$A:$A,$B6)</f>
        <v>2907</v>
      </c>
      <c r="L6" s="51">
        <f>SUMIFS(水表!$C:$C,水表!$B:$B,L$3,水表!$A:$A,$B6)</f>
        <v>0</v>
      </c>
      <c r="M6" s="51">
        <f>SUMIFS(水表!$C:$C,水表!$B:$B,M$3,水表!$A:$A,$B6)</f>
        <v>0</v>
      </c>
      <c r="N6" s="51">
        <f>SUMIFS(水表!$C:$C,水表!$B:$B,N$3,水表!$A:$A,$B6)</f>
        <v>0</v>
      </c>
      <c r="O6" s="52">
        <f>+SUM(K6:N6)-SUM(K5:N5)</f>
        <v>79</v>
      </c>
      <c r="P6" s="46">
        <f>SUMIFS(水表!$D:$D,水表!$B:$B,K$3,水表!$A:$A,B6)</f>
        <v>9.3000000000000007</v>
      </c>
      <c r="Q6" s="52">
        <f>ROUND(O6*P6,2)</f>
        <v>734.7</v>
      </c>
      <c r="R6" s="51">
        <f>SUMIFS(电表!$C:$C,电表!$B:$B,R$3,电表!$A:$A,$B6)</f>
        <v>3288</v>
      </c>
      <c r="S6" s="51">
        <f>SUMIFS(电表!$C:$C,电表!$B:$B,S$3,电表!$A:$A,$B6)</f>
        <v>0</v>
      </c>
      <c r="T6" s="52">
        <f t="shared" ref="T6:T41" si="0">IF(SUM(R6)&lt;=0,0,(R6-R5)*R$4+(S6-S5)*S$4)</f>
        <v>33600</v>
      </c>
      <c r="U6" s="51">
        <f t="shared" ref="U6" si="1">+I6</f>
        <v>0.95514658500000005</v>
      </c>
      <c r="V6" s="52">
        <f>ROUND(T6*U6,2)</f>
        <v>32092.93</v>
      </c>
      <c r="W6" s="51">
        <f>SUMIFS(水表!$C:$C,水表!$B:$B,W$3,水表!$A:$A,$B6)</f>
        <v>1031</v>
      </c>
      <c r="X6" s="51">
        <f>SUMIFS(水表!$C:$C,水表!$B:$B,X$3,水表!$A:$A,$B6)</f>
        <v>0</v>
      </c>
      <c r="Y6" s="51">
        <f>SUMIFS(水表!$C:$C,水表!$B:$B,Y$3,水表!$A:$A,$B6)</f>
        <v>0</v>
      </c>
      <c r="Z6" s="52">
        <f>+SUM(W6:Y6)-SUM(W5:Y5)</f>
        <v>24</v>
      </c>
      <c r="AA6" s="51">
        <f>+P6</f>
        <v>9.3000000000000007</v>
      </c>
      <c r="AB6" s="52">
        <f>ROUND(Z6*AA6,2)</f>
        <v>223.2</v>
      </c>
    </row>
    <row r="7" spans="1:28" ht="18.75" customHeight="1" x14ac:dyDescent="0.2">
      <c r="A7" s="43">
        <f t="shared" ref="A7" si="2">DATE(YEAR(A6), MONTH(A6) + 1, DAY(A6))</f>
        <v>44927</v>
      </c>
      <c r="B7" s="43">
        <f t="shared" ref="B7:B47" si="3">DATE(YEAR(B6), MONTH(B6) + 1, DAY(B6))</f>
        <v>44958</v>
      </c>
      <c r="C7" s="51">
        <f>SUMIFS(电表!$C:$C,电表!$B:$B,C$3,电表!$A:$A,$B7)</f>
        <v>773</v>
      </c>
      <c r="D7" s="51">
        <f>SUMIFS(电表!$C:$C,电表!$B:$B,D$3,电表!$A:$A,$B7)</f>
        <v>1604</v>
      </c>
      <c r="E7" s="51">
        <f>SUMIFS(电表!$C:$C,电表!$B:$B,E$3,电表!$A:$A,$B7)</f>
        <v>0</v>
      </c>
      <c r="F7" s="51">
        <f>SUMIFS(电表!$C:$C,电表!$B:$B,F$3,电表!$A:$A,$B7)</f>
        <v>0</v>
      </c>
      <c r="G7" s="51">
        <f>SUMIFS(电表!$C:$C,电表!$B:$B,G$3,电表!$A:$A,$B7)</f>
        <v>-8400</v>
      </c>
      <c r="H7" s="52">
        <f t="shared" ref="H7:H8" si="4">+(C7-C6)*C$4+(D7-D6)*D$4+(E7-E6)*E$4+(F7-F6)*F$4+(G7-G6)*G$4</f>
        <v>8400</v>
      </c>
      <c r="I7" s="51">
        <f>SUMIFS(电表!$D:$D,电表!$B:$B,C$3,电表!$A:$A,$B7)</f>
        <v>1.0316877637130801</v>
      </c>
      <c r="J7" s="52">
        <f t="shared" ref="J7:J41" si="5">ROUND(H7*I7,2)</f>
        <v>8666.18</v>
      </c>
      <c r="K7" s="51">
        <f>SUMIFS(水表!$C:$C,水表!$B:$B,K$3,水表!$A:$A,$B7)</f>
        <v>2982</v>
      </c>
      <c r="L7" s="51">
        <f>SUMIFS(水表!$C:$C,水表!$B:$B,L$3,水表!$A:$A,$B7)</f>
        <v>0</v>
      </c>
      <c r="M7" s="51">
        <f>SUMIFS(水表!$C:$C,水表!$B:$B,M$3,水表!$A:$A,$B7)</f>
        <v>0</v>
      </c>
      <c r="N7" s="51">
        <f>SUMIFS(水表!$C:$C,水表!$B:$B,N$3,水表!$A:$A,$B7)</f>
        <v>-37.5</v>
      </c>
      <c r="O7" s="52">
        <f t="shared" ref="O7:O8" si="6">+SUM(K7:N7)-SUM(K6:N6)</f>
        <v>37.5</v>
      </c>
      <c r="P7" s="46">
        <f>SUMIFS(水表!$D:$D,水表!$B:$B,K$3,水表!$A:$A,B7)</f>
        <v>9.3000000000000007</v>
      </c>
      <c r="Q7" s="52">
        <f t="shared" ref="Q7:Q41" si="7">ROUND(O7*P7,2)</f>
        <v>348.75</v>
      </c>
      <c r="R7" s="51">
        <f>SUMIFS(电表!$C:$C,电表!$B:$B,R$3,电表!$A:$A,$B7)</f>
        <v>3534</v>
      </c>
      <c r="S7" s="51">
        <f>SUMIFS(电表!$C:$C,电表!$B:$B,S$3,电表!$A:$A,$B7)</f>
        <v>8400</v>
      </c>
      <c r="T7" s="52">
        <f t="shared" si="0"/>
        <v>28080</v>
      </c>
      <c r="U7" s="51">
        <f t="shared" ref="U7:U41" si="8">+I7</f>
        <v>1.0316877637130801</v>
      </c>
      <c r="V7" s="52">
        <f t="shared" ref="V7:V41" si="9">ROUND(T7*U7,2)</f>
        <v>28969.79</v>
      </c>
      <c r="W7" s="51">
        <f>SUMIFS(水表!$C:$C,水表!$B:$B,W$3,水表!$A:$A,$B7)</f>
        <v>1051</v>
      </c>
      <c r="X7" s="51">
        <f>SUMIFS(水表!$C:$C,水表!$B:$B,X$3,水表!$A:$A,$B7)</f>
        <v>0</v>
      </c>
      <c r="Y7" s="51">
        <f>SUMIFS(水表!$C:$C,水表!$B:$B,Y$3,水表!$A:$A,$B7)</f>
        <v>37.5</v>
      </c>
      <c r="Z7" s="52">
        <f t="shared" ref="Z7:Z8" si="10">+SUM(W7:Y7)-SUM(W6:Y6)</f>
        <v>57.5</v>
      </c>
      <c r="AA7" s="51">
        <f t="shared" ref="AA7:AA41" si="11">+P7</f>
        <v>9.3000000000000007</v>
      </c>
      <c r="AB7" s="52">
        <f t="shared" ref="AB7:AB41" si="12">ROUND(Z7*AA7,2)</f>
        <v>534.75</v>
      </c>
    </row>
    <row r="8" spans="1:28" ht="18.75" customHeight="1" x14ac:dyDescent="0.2">
      <c r="A8" s="43">
        <f t="shared" ref="A8" si="13">DATE(YEAR(A7), MONTH(A7) + 1, DAY(A7))</f>
        <v>44958</v>
      </c>
      <c r="B8" s="43">
        <f t="shared" si="3"/>
        <v>44986</v>
      </c>
      <c r="C8" s="51">
        <f>SUMIFS(电表!$C:$C,电表!$B:$B,C$3,电表!$A:$A,$B8)</f>
        <v>803</v>
      </c>
      <c r="D8" s="51">
        <f>SUMIFS(电表!$C:$C,电表!$B:$B,D$3,电表!$A:$A,$B8)</f>
        <v>1680</v>
      </c>
      <c r="E8" s="51">
        <f>SUMIFS(电表!$C:$C,电表!$B:$B,E$3,电表!$A:$A,$B8)</f>
        <v>0</v>
      </c>
      <c r="F8" s="51">
        <f>SUMIFS(电表!$C:$C,电表!$B:$B,F$3,电表!$A:$A,$B8)</f>
        <v>0</v>
      </c>
      <c r="G8" s="51">
        <f>SUMIFS(电表!$C:$C,电表!$B:$B,G$3,电表!$A:$A,$B8)</f>
        <v>-13457</v>
      </c>
      <c r="H8" s="52">
        <f t="shared" si="4"/>
        <v>7663</v>
      </c>
      <c r="I8" s="51">
        <f>SUMIFS(电表!$D:$D,电表!$B:$B,C$3,电表!$A:$A,$B8)</f>
        <v>0.988731256</v>
      </c>
      <c r="J8" s="52">
        <f t="shared" si="5"/>
        <v>7576.65</v>
      </c>
      <c r="K8" s="51">
        <f>SUMIFS(水表!$C:$C,水表!$B:$B,K$3,水表!$A:$A,$B8)</f>
        <v>3053</v>
      </c>
      <c r="L8" s="51">
        <f>SUMIFS(水表!$C:$C,水表!$B:$B,L$3,水表!$A:$A,$B8)</f>
        <v>0</v>
      </c>
      <c r="M8" s="51">
        <f>SUMIFS(水表!$C:$C,水表!$B:$B,M$3,水表!$A:$A,$B8)</f>
        <v>0</v>
      </c>
      <c r="N8" s="51">
        <f>SUMIFS(水表!$C:$C,水表!$B:$B,N$3,水表!$A:$A,$B8)</f>
        <v>-73</v>
      </c>
      <c r="O8" s="52">
        <f t="shared" si="6"/>
        <v>35.5</v>
      </c>
      <c r="P8" s="46">
        <f>SUMIFS(水表!$D:$D,水表!$B:$B,K$3,水表!$A:$A,B8)</f>
        <v>9.3000000000000007</v>
      </c>
      <c r="Q8" s="52">
        <f t="shared" si="7"/>
        <v>330.15</v>
      </c>
      <c r="R8" s="51">
        <f>SUMIFS(电表!$C:$C,电表!$B:$B,R$3,电表!$A:$A,$B8)</f>
        <v>3766</v>
      </c>
      <c r="S8" s="51">
        <f>SUMIFS(电表!$C:$C,电表!$B:$B,S$3,电表!$A:$A,$B8)</f>
        <v>13457</v>
      </c>
      <c r="T8" s="52">
        <f t="shared" si="0"/>
        <v>23617</v>
      </c>
      <c r="U8" s="51">
        <f t="shared" si="8"/>
        <v>0.988731256</v>
      </c>
      <c r="V8" s="52">
        <f t="shared" si="9"/>
        <v>23350.87</v>
      </c>
      <c r="W8" s="51">
        <f>SUMIFS(水表!$C:$C,水表!$B:$B,W$3,水表!$A:$A,$B8)</f>
        <v>1079</v>
      </c>
      <c r="X8" s="51">
        <f>SUMIFS(水表!$C:$C,水表!$B:$B,X$3,水表!$A:$A,$B8)</f>
        <v>0</v>
      </c>
      <c r="Y8" s="51">
        <f>SUMIFS(水表!$C:$C,水表!$B:$B,Y$3,水表!$A:$A,$B8)</f>
        <v>73</v>
      </c>
      <c r="Z8" s="52">
        <f t="shared" si="10"/>
        <v>63.5</v>
      </c>
      <c r="AA8" s="51">
        <f t="shared" si="11"/>
        <v>9.3000000000000007</v>
      </c>
      <c r="AB8" s="52">
        <f t="shared" si="12"/>
        <v>590.54999999999995</v>
      </c>
    </row>
    <row r="9" spans="1:28" ht="18.75" customHeight="1" x14ac:dyDescent="0.2">
      <c r="A9" s="43">
        <f t="shared" ref="A9" si="14">DATE(YEAR(A8), MONTH(A8) + 1, DAY(A8))</f>
        <v>44986</v>
      </c>
      <c r="B9" s="43">
        <f t="shared" si="3"/>
        <v>45017</v>
      </c>
      <c r="C9" s="51">
        <f>SUMIFS(电表!$C:$C,电表!$B:$B,C$3,电表!$A:$A,$B9)</f>
        <v>827</v>
      </c>
      <c r="D9" s="51">
        <f>SUMIFS(电表!$C:$C,电表!$B:$B,D$3,电表!$A:$A,$B9)</f>
        <v>1750</v>
      </c>
      <c r="E9" s="51">
        <f>SUMIFS(电表!$C:$C,电表!$B:$B,E$3,电表!$A:$A,$B9)</f>
        <v>0</v>
      </c>
      <c r="F9" s="51">
        <f>SUMIFS(电表!$C:$C,电表!$B:$B,F$3,电表!$A:$A,$B9)</f>
        <v>0</v>
      </c>
      <c r="G9" s="51">
        <f>SUMIFS(电表!$C:$C,电表!$B:$B,G$3,电表!$A:$A,$B9)</f>
        <v>-19097</v>
      </c>
      <c r="H9" s="52">
        <f t="shared" ref="H9:H18" si="15">IF(SUM(C9:E9)&lt;=0,0,(C9-C8)*C$4+(D9-D8)*D$4+(E9-E8)*E$4+(F9-F8)*F$4+(G9-G8)*G$4)</f>
        <v>5640</v>
      </c>
      <c r="I9" s="51">
        <f>SUMIFS(电表!$D:$D,电表!$B:$B,C$3,电表!$A:$A,$B9)</f>
        <v>0.98761738613693284</v>
      </c>
      <c r="J9" s="52">
        <f t="shared" si="5"/>
        <v>5570.16</v>
      </c>
      <c r="K9" s="51">
        <f>SUMIFS(水表!$C:$C,水表!$B:$B,K$3,水表!$A:$A,$B9)</f>
        <v>3153</v>
      </c>
      <c r="L9" s="51">
        <f>SUMIFS(水表!$C:$C,水表!$B:$B,L$3,水表!$A:$A,$B9)</f>
        <v>0</v>
      </c>
      <c r="M9" s="51">
        <f>SUMIFS(水表!$C:$C,水表!$B:$B,M$3,水表!$A:$A,$B9)</f>
        <v>0</v>
      </c>
      <c r="N9" s="51">
        <f>SUMIFS(水表!$C:$C,水表!$B:$B,N$3,水表!$A:$A,$B9)</f>
        <v>-153</v>
      </c>
      <c r="O9" s="52">
        <f t="shared" ref="O9:O41" si="16">IF(SUM(K9:M9)&lt;=0,0,SUM(K9:N9)-SUM(K8:N8))</f>
        <v>20</v>
      </c>
      <c r="P9" s="46">
        <f>SUMIFS(水表!$D:$D,水表!$B:$B,K$3,水表!$A:$A,B9)</f>
        <v>9.3000000000000007</v>
      </c>
      <c r="Q9" s="52">
        <f t="shared" si="7"/>
        <v>186</v>
      </c>
      <c r="R9" s="51">
        <f>SUMIFS(电表!$C:$C,电表!$B:$B,R$3,电表!$A:$A,$B9)</f>
        <v>3953</v>
      </c>
      <c r="S9" s="51">
        <f>SUMIFS(电表!$C:$C,电表!$B:$B,S$3,电表!$A:$A,$B9)</f>
        <v>19097</v>
      </c>
      <c r="T9" s="52">
        <f t="shared" si="0"/>
        <v>20600</v>
      </c>
      <c r="U9" s="51">
        <f t="shared" si="8"/>
        <v>0.98761738613693284</v>
      </c>
      <c r="V9" s="52">
        <f t="shared" si="9"/>
        <v>20344.919999999998</v>
      </c>
      <c r="W9" s="51">
        <f>SUMIFS(水表!$C:$C,水表!$B:$B,W$3,水表!$A:$A,$B9)</f>
        <v>1097</v>
      </c>
      <c r="X9" s="51">
        <f>SUMIFS(水表!$C:$C,水表!$B:$B,X$3,水表!$A:$A,$B9)</f>
        <v>0</v>
      </c>
      <c r="Y9" s="51">
        <f>SUMIFS(水表!$C:$C,水表!$B:$B,Y$3,水表!$A:$A,$B9)</f>
        <v>153</v>
      </c>
      <c r="Z9" s="52">
        <f t="shared" ref="Z9:Z41" si="17">IF(SUM(W9:X9)&lt;=0,0,SUM(W9:Y9)-SUM(W8:Y8))</f>
        <v>98</v>
      </c>
      <c r="AA9" s="51">
        <f t="shared" si="11"/>
        <v>9.3000000000000007</v>
      </c>
      <c r="AB9" s="52">
        <f t="shared" si="12"/>
        <v>911.4</v>
      </c>
    </row>
    <row r="10" spans="1:28" ht="18.75" customHeight="1" x14ac:dyDescent="0.2">
      <c r="A10" s="43">
        <f t="shared" ref="A10" si="18">DATE(YEAR(A9), MONTH(A9) + 1, DAY(A9))</f>
        <v>45017</v>
      </c>
      <c r="B10" s="43">
        <f t="shared" si="3"/>
        <v>45047</v>
      </c>
      <c r="C10" s="51">
        <f>SUMIFS(电表!$C:$C,电表!$B:$B,C$3,电表!$A:$A,$B10)</f>
        <v>847</v>
      </c>
      <c r="D10" s="51">
        <f>SUMIFS(电表!$C:$C,电表!$B:$B,D$3,电表!$A:$A,$B10)</f>
        <v>1820</v>
      </c>
      <c r="E10" s="51">
        <f>SUMIFS(电表!$C:$C,电表!$B:$B,E$3,电表!$A:$A,$B10)</f>
        <v>0</v>
      </c>
      <c r="F10" s="51">
        <f>SUMIFS(电表!$C:$C,电表!$B:$B,F$3,电表!$A:$A,$B10)</f>
        <v>0</v>
      </c>
      <c r="G10" s="51">
        <f>SUMIFS(电表!$C:$C,电表!$B:$B,G$3,电表!$A:$A,$B10)</f>
        <v>-23092</v>
      </c>
      <c r="H10" s="52">
        <f t="shared" si="15"/>
        <v>6805</v>
      </c>
      <c r="I10" s="51">
        <f>SUMIFS(电表!$D:$D,电表!$B:$B,C$3,电表!$A:$A,$B10)</f>
        <v>1.0490499789562291</v>
      </c>
      <c r="J10" s="52">
        <f t="shared" si="5"/>
        <v>7138.79</v>
      </c>
      <c r="K10" s="51">
        <f>SUMIFS(水表!$C:$C,水表!$B:$B,K$3,水表!$A:$A,$B10)</f>
        <v>3221</v>
      </c>
      <c r="L10" s="51">
        <f>SUMIFS(水表!$C:$C,水表!$B:$B,L$3,水表!$A:$A,$B10)</f>
        <v>0</v>
      </c>
      <c r="M10" s="51">
        <f>SUMIFS(水表!$C:$C,水表!$B:$B,M$3,水表!$A:$A,$B10)</f>
        <v>0</v>
      </c>
      <c r="N10" s="51">
        <f>SUMIFS(水表!$C:$C,水表!$B:$B,N$3,水表!$A:$A,$B10)</f>
        <v>-153</v>
      </c>
      <c r="O10" s="52">
        <f t="shared" si="16"/>
        <v>68</v>
      </c>
      <c r="P10" s="46">
        <f>SUMIFS(水表!$D:$D,水表!$B:$B,K$3,水表!$A:$A,B10)</f>
        <v>9.3000000000000007</v>
      </c>
      <c r="Q10" s="52">
        <f t="shared" si="7"/>
        <v>632.4</v>
      </c>
      <c r="R10" s="51">
        <f>SUMIFS(电表!$C:$C,电表!$B:$B,R$3,电表!$A:$A,$B10)</f>
        <v>4158</v>
      </c>
      <c r="S10" s="51">
        <f>SUMIFS(电表!$C:$C,电表!$B:$B,S$3,电表!$A:$A,$B10)</f>
        <v>23092</v>
      </c>
      <c r="T10" s="52">
        <f t="shared" si="0"/>
        <v>20395</v>
      </c>
      <c r="U10" s="51">
        <f t="shared" si="8"/>
        <v>1.0490499789562291</v>
      </c>
      <c r="V10" s="52">
        <f t="shared" si="9"/>
        <v>21395.37</v>
      </c>
      <c r="W10" s="51">
        <f>SUMIFS(水表!$C:$C,水表!$B:$B,W$3,水表!$A:$A,$B10)</f>
        <v>1119</v>
      </c>
      <c r="X10" s="51">
        <f>SUMIFS(水表!$C:$C,水表!$B:$B,X$3,水表!$A:$A,$B10)</f>
        <v>0</v>
      </c>
      <c r="Y10" s="51">
        <f>SUMIFS(水表!$C:$C,水表!$B:$B,Y$3,水表!$A:$A,$B10)</f>
        <v>153</v>
      </c>
      <c r="Z10" s="52">
        <f t="shared" si="17"/>
        <v>22</v>
      </c>
      <c r="AA10" s="51">
        <f t="shared" si="11"/>
        <v>9.3000000000000007</v>
      </c>
      <c r="AB10" s="52">
        <f t="shared" si="12"/>
        <v>204.6</v>
      </c>
    </row>
    <row r="11" spans="1:28" ht="18.75" customHeight="1" x14ac:dyDescent="0.2">
      <c r="A11" s="43">
        <f t="shared" ref="A11" si="19">DATE(YEAR(A10), MONTH(A10) + 1, DAY(A10))</f>
        <v>45047</v>
      </c>
      <c r="B11" s="43">
        <f t="shared" si="3"/>
        <v>45078</v>
      </c>
      <c r="C11" s="51">
        <f>SUMIFS(电表!$C:$C,电表!$B:$B,C$3,电表!$A:$A,$B11)</f>
        <v>871</v>
      </c>
      <c r="D11" s="51">
        <f>SUMIFS(电表!$C:$C,电表!$B:$B,D$3,电表!$A:$A,$B11)</f>
        <v>1916</v>
      </c>
      <c r="E11" s="51">
        <f>SUMIFS(电表!$C:$C,电表!$B:$B,E$3,电表!$A:$A,$B11)</f>
        <v>0</v>
      </c>
      <c r="F11" s="51">
        <f>SUMIFS(电表!$C:$C,电表!$B:$B,F$3,电表!$A:$A,$B11)</f>
        <v>0</v>
      </c>
      <c r="G11" s="51">
        <f>SUMIFS(电表!$C:$C,电表!$B:$B,G$3,电表!$A:$A,$B11)</f>
        <v>-30092</v>
      </c>
      <c r="H11" s="52">
        <f t="shared" si="15"/>
        <v>7400</v>
      </c>
      <c r="I11" s="51">
        <f>SUMIFS(电表!$D:$D,电表!$B:$B,C$3,电表!$A:$A,$B11)</f>
        <v>0.9963263840949883</v>
      </c>
      <c r="J11" s="52">
        <f t="shared" si="5"/>
        <v>7372.82</v>
      </c>
      <c r="K11" s="51">
        <f>SUMIFS(水表!$C:$C,水表!$B:$B,K$3,水表!$A:$A,$B11)</f>
        <v>3341</v>
      </c>
      <c r="L11" s="51">
        <f>SUMIFS(水表!$C:$C,水表!$B:$B,L$3,水表!$A:$A,$B11)</f>
        <v>0</v>
      </c>
      <c r="M11" s="51">
        <f>SUMIFS(水表!$C:$C,水表!$B:$B,M$3,水表!$A:$A,$B11)</f>
        <v>0</v>
      </c>
      <c r="N11" s="51">
        <f>SUMIFS(水表!$C:$C,水表!$B:$B,N$3,水表!$A:$A,$B11)</f>
        <v>-213</v>
      </c>
      <c r="O11" s="52">
        <f t="shared" si="16"/>
        <v>60</v>
      </c>
      <c r="P11" s="46">
        <f>SUMIFS(水表!$D:$D,水表!$B:$B,K$3,水表!$A:$A,B11)</f>
        <v>9.3000000000000007</v>
      </c>
      <c r="Q11" s="52">
        <f t="shared" si="7"/>
        <v>558</v>
      </c>
      <c r="R11" s="51">
        <f>SUMIFS(电表!$C:$C,电表!$B:$B,R$3,电表!$A:$A,$B11)</f>
        <v>4372</v>
      </c>
      <c r="S11" s="51">
        <f>SUMIFS(电表!$C:$C,电表!$B:$B,S$3,电表!$A:$A,$B11)</f>
        <v>30092</v>
      </c>
      <c r="T11" s="52">
        <f t="shared" si="0"/>
        <v>24120</v>
      </c>
      <c r="U11" s="51">
        <f t="shared" si="8"/>
        <v>0.9963263840949883</v>
      </c>
      <c r="V11" s="52">
        <f t="shared" si="9"/>
        <v>24031.39</v>
      </c>
      <c r="W11" s="51">
        <f>SUMIFS(水表!$C:$C,水表!$B:$B,W$3,水表!$A:$A,$B11)</f>
        <v>1162</v>
      </c>
      <c r="X11" s="51">
        <f>SUMIFS(水表!$C:$C,水表!$B:$B,X$3,水表!$A:$A,$B11)</f>
        <v>0</v>
      </c>
      <c r="Y11" s="51">
        <f>SUMIFS(水表!$C:$C,水表!$B:$B,Y$3,水表!$A:$A,$B11)</f>
        <v>213</v>
      </c>
      <c r="Z11" s="52">
        <f t="shared" si="17"/>
        <v>103</v>
      </c>
      <c r="AA11" s="51">
        <f t="shared" si="11"/>
        <v>9.3000000000000007</v>
      </c>
      <c r="AB11" s="52">
        <f t="shared" si="12"/>
        <v>957.9</v>
      </c>
    </row>
    <row r="12" spans="1:28" ht="18.75" customHeight="1" x14ac:dyDescent="0.2">
      <c r="A12" s="43">
        <f t="shared" ref="A12" si="20">DATE(YEAR(A11), MONTH(A11) + 1, DAY(A11))</f>
        <v>45078</v>
      </c>
      <c r="B12" s="43">
        <f t="shared" si="3"/>
        <v>45108</v>
      </c>
      <c r="C12" s="51">
        <f>SUMIFS(电表!$C:$C,电表!$B:$B,C$3,电表!$A:$A,$B12)</f>
        <v>890</v>
      </c>
      <c r="D12" s="51">
        <f>SUMIFS(电表!$C:$C,电表!$B:$B,D$3,电表!$A:$A,$B12)</f>
        <v>1985</v>
      </c>
      <c r="E12" s="51">
        <f>SUMIFS(电表!$C:$C,电表!$B:$B,E$3,电表!$A:$A,$B12)</f>
        <v>0</v>
      </c>
      <c r="F12" s="51">
        <f>SUMIFS(电表!$C:$C,电表!$B:$B,F$3,电表!$A:$A,$B12)</f>
        <v>0</v>
      </c>
      <c r="G12" s="51">
        <f>SUMIFS(电表!$C:$C,电表!$B:$B,G$3,电表!$A:$A,$B12)</f>
        <v>-35044.92</v>
      </c>
      <c r="H12" s="52">
        <f t="shared" si="15"/>
        <v>5607.0800000000017</v>
      </c>
      <c r="I12" s="51">
        <f>SUMIFS(电表!$D:$D,电表!$B:$B,C$3,电表!$A:$A,$B12)</f>
        <v>1.0095054769511638</v>
      </c>
      <c r="J12" s="52">
        <f t="shared" si="5"/>
        <v>5660.38</v>
      </c>
      <c r="K12" s="51">
        <f>SUMIFS(水表!$C:$C,水表!$B:$B,K$3,水表!$A:$A,$B12)</f>
        <v>3460</v>
      </c>
      <c r="L12" s="51">
        <f>SUMIFS(水表!$C:$C,水表!$B:$B,L$3,水表!$A:$A,$B12)</f>
        <v>0</v>
      </c>
      <c r="M12" s="51">
        <f>SUMIFS(水表!$C:$C,水表!$B:$B,M$3,水表!$A:$A,$B12)</f>
        <v>0</v>
      </c>
      <c r="N12" s="51">
        <f>SUMIFS(水表!$C:$C,水表!$B:$B,N$3,水表!$A:$A,$B12)</f>
        <v>-263</v>
      </c>
      <c r="O12" s="52">
        <f t="shared" si="16"/>
        <v>69</v>
      </c>
      <c r="P12" s="46">
        <f>SUMIFS(水表!$D:$D,水表!$B:$B,K$3,水表!$A:$A,B12)</f>
        <v>9.3000000000000007</v>
      </c>
      <c r="Q12" s="52">
        <f t="shared" si="7"/>
        <v>641.70000000000005</v>
      </c>
      <c r="R12" s="51">
        <f>SUMIFS(电表!$C:$C,电表!$B:$B,R$3,电表!$A:$A,$B12)</f>
        <v>4600</v>
      </c>
      <c r="S12" s="51">
        <f>SUMIFS(电表!$C:$C,电表!$B:$B,S$3,电表!$A:$A,$B12)</f>
        <v>35044.92</v>
      </c>
      <c r="T12" s="52">
        <f t="shared" si="0"/>
        <v>23192.92</v>
      </c>
      <c r="U12" s="51">
        <f t="shared" si="8"/>
        <v>1.0095054769511638</v>
      </c>
      <c r="V12" s="52">
        <f t="shared" si="9"/>
        <v>23413.38</v>
      </c>
      <c r="W12" s="51">
        <f>SUMIFS(水表!$C:$C,水表!$B:$B,W$3,水表!$A:$A,$B12)</f>
        <v>1202</v>
      </c>
      <c r="X12" s="51">
        <f>SUMIFS(水表!$C:$C,水表!$B:$B,X$3,水表!$A:$A,$B12)</f>
        <v>0</v>
      </c>
      <c r="Y12" s="51">
        <f>SUMIFS(水表!$C:$C,水表!$B:$B,Y$3,水表!$A:$A,$B12)</f>
        <v>263</v>
      </c>
      <c r="Z12" s="52">
        <f t="shared" si="17"/>
        <v>90</v>
      </c>
      <c r="AA12" s="51">
        <f t="shared" si="11"/>
        <v>9.3000000000000007</v>
      </c>
      <c r="AB12" s="52">
        <f t="shared" si="12"/>
        <v>837</v>
      </c>
    </row>
    <row r="13" spans="1:28" ht="18.75" customHeight="1" x14ac:dyDescent="0.2">
      <c r="A13" s="43">
        <f t="shared" ref="A13" si="21">DATE(YEAR(A12), MONTH(A12) + 1, DAY(A12))</f>
        <v>45108</v>
      </c>
      <c r="B13" s="43">
        <f t="shared" si="3"/>
        <v>45139</v>
      </c>
      <c r="C13" s="51">
        <f>SUMIFS(电表!$C:$C,电表!$B:$B,C$3,电表!$A:$A,$B13)</f>
        <v>914</v>
      </c>
      <c r="D13" s="51">
        <f>SUMIFS(电表!$C:$C,电表!$B:$B,D$3,电表!$A:$A,$B13)</f>
        <v>2069</v>
      </c>
      <c r="E13" s="51">
        <f>SUMIFS(电表!$C:$C,电表!$B:$B,E$3,电表!$A:$A,$B13)</f>
        <v>0</v>
      </c>
      <c r="F13" s="51">
        <f>SUMIFS(电表!$C:$C,电表!$B:$B,F$3,电表!$A:$A,$B13)</f>
        <v>0</v>
      </c>
      <c r="G13" s="51">
        <f>SUMIFS(电表!$C:$C,电表!$B:$B,G$3,电表!$A:$A,$B13)</f>
        <v>-40139.919999999998</v>
      </c>
      <c r="H13" s="52">
        <f t="shared" si="15"/>
        <v>7865</v>
      </c>
      <c r="I13" s="51">
        <f>SUMIFS(电表!$D:$D,电表!$B:$B,C$3,电表!$A:$A,$B13)</f>
        <v>0.98142553130302235</v>
      </c>
      <c r="J13" s="52">
        <f t="shared" si="5"/>
        <v>7718.91</v>
      </c>
      <c r="K13" s="51">
        <f>SUMIFS(水表!$C:$C,水表!$B:$B,K$3,水表!$A:$A,$B13)</f>
        <v>3530</v>
      </c>
      <c r="L13" s="51">
        <f>SUMIFS(水表!$C:$C,水表!$B:$B,L$3,水表!$A:$A,$B13)</f>
        <v>0</v>
      </c>
      <c r="M13" s="51">
        <f>SUMIFS(水表!$C:$C,水表!$B:$B,M$3,水表!$A:$A,$B13)</f>
        <v>0</v>
      </c>
      <c r="N13" s="51">
        <f>SUMIFS(水表!$C:$C,水表!$B:$B,N$3,水表!$A:$A,$B13)</f>
        <v>-263</v>
      </c>
      <c r="O13" s="52">
        <f t="shared" si="16"/>
        <v>70</v>
      </c>
      <c r="P13" s="46">
        <f>SUMIFS(水表!$D:$D,水表!$B:$B,K$3,水表!$A:$A,B13)</f>
        <v>9.3000000000000007</v>
      </c>
      <c r="Q13" s="52">
        <f t="shared" si="7"/>
        <v>651</v>
      </c>
      <c r="R13" s="51">
        <f>SUMIFS(电表!$C:$C,电表!$B:$B,R$3,电表!$A:$A,$B13)</f>
        <v>4826</v>
      </c>
      <c r="S13" s="51">
        <f>SUMIFS(电表!$C:$C,电表!$B:$B,S$3,电表!$A:$A,$B13)</f>
        <v>40139.919999999998</v>
      </c>
      <c r="T13" s="52">
        <f t="shared" si="0"/>
        <v>23175</v>
      </c>
      <c r="U13" s="51">
        <f t="shared" si="8"/>
        <v>0.98142553130302235</v>
      </c>
      <c r="V13" s="52">
        <f t="shared" si="9"/>
        <v>22744.54</v>
      </c>
      <c r="W13" s="51">
        <f>SUMIFS(水表!$C:$C,水表!$B:$B,W$3,水表!$A:$A,$B13)</f>
        <v>1270</v>
      </c>
      <c r="X13" s="51">
        <f>SUMIFS(水表!$C:$C,水表!$B:$B,X$3,水表!$A:$A,$B13)</f>
        <v>0</v>
      </c>
      <c r="Y13" s="51">
        <f>SUMIFS(水表!$C:$C,水表!$B:$B,Y$3,水表!$A:$A,$B13)</f>
        <v>263</v>
      </c>
      <c r="Z13" s="52">
        <f t="shared" si="17"/>
        <v>68</v>
      </c>
      <c r="AA13" s="51">
        <f t="shared" si="11"/>
        <v>9.3000000000000007</v>
      </c>
      <c r="AB13" s="52">
        <f t="shared" si="12"/>
        <v>632.4</v>
      </c>
    </row>
    <row r="14" spans="1:28" ht="18.75" customHeight="1" x14ac:dyDescent="0.2">
      <c r="A14" s="43">
        <f t="shared" ref="A14" si="22">DATE(YEAR(A13), MONTH(A13) + 1, DAY(A13))</f>
        <v>45139</v>
      </c>
      <c r="B14" s="43">
        <f t="shared" si="3"/>
        <v>45170</v>
      </c>
      <c r="C14" s="51">
        <f>SUMIFS(电表!$C:$C,电表!$B:$B,C$3,电表!$A:$A,$B14)</f>
        <v>944</v>
      </c>
      <c r="D14" s="51">
        <f>SUMIFS(电表!$C:$C,电表!$B:$B,D$3,电表!$A:$A,$B14)</f>
        <v>2185</v>
      </c>
      <c r="E14" s="51">
        <f>SUMIFS(电表!$C:$C,电表!$B:$B,E$3,电表!$A:$A,$B14)</f>
        <v>0</v>
      </c>
      <c r="F14" s="51">
        <f>SUMIFS(电表!$C:$C,电表!$B:$B,F$3,电表!$A:$A,$B14)</f>
        <v>0</v>
      </c>
      <c r="G14" s="51">
        <f>SUMIFS(电表!$C:$C,电表!$B:$B,G$3,电表!$A:$A,$B14)</f>
        <v>-48878.92</v>
      </c>
      <c r="H14" s="52">
        <f t="shared" si="15"/>
        <v>8781</v>
      </c>
      <c r="I14" s="51">
        <f>SUMIFS(电表!$D:$D,电表!$B:$B,C$3,电表!$A:$A,$B14)</f>
        <v>0.97270000000000001</v>
      </c>
      <c r="J14" s="52">
        <f t="shared" si="5"/>
        <v>8541.2800000000007</v>
      </c>
      <c r="K14" s="51">
        <f>SUMIFS(水表!$C:$C,水表!$B:$B,K$3,水表!$A:$A,$B14)</f>
        <v>3695</v>
      </c>
      <c r="L14" s="51">
        <f>SUMIFS(水表!$C:$C,水表!$B:$B,L$3,水表!$A:$A,$B14)</f>
        <v>0</v>
      </c>
      <c r="M14" s="51">
        <f>SUMIFS(水表!$C:$C,水表!$B:$B,M$3,水表!$A:$A,$B14)</f>
        <v>0</v>
      </c>
      <c r="N14" s="51">
        <f>SUMIFS(水表!$C:$C,水表!$B:$B,N$3,水表!$A:$A,$B14)</f>
        <v>-363</v>
      </c>
      <c r="O14" s="52">
        <f t="shared" si="16"/>
        <v>65</v>
      </c>
      <c r="P14" s="46">
        <f>SUMIFS(水表!$D:$D,水表!$B:$B,K$3,水表!$A:$A,B14)</f>
        <v>9.3000000000000007</v>
      </c>
      <c r="Q14" s="52">
        <f t="shared" si="7"/>
        <v>604.5</v>
      </c>
      <c r="R14" s="51">
        <f>SUMIFS(电表!$C:$C,电表!$B:$B,R$3,电表!$A:$A,$B14)</f>
        <v>5045</v>
      </c>
      <c r="S14" s="51">
        <f>SUMIFS(电表!$C:$C,电表!$B:$B,S$3,电表!$A:$A,$B14)</f>
        <v>48878.92</v>
      </c>
      <c r="T14" s="52">
        <f t="shared" si="0"/>
        <v>26259</v>
      </c>
      <c r="U14" s="51">
        <f t="shared" si="8"/>
        <v>0.97270000000000001</v>
      </c>
      <c r="V14" s="52">
        <f t="shared" si="9"/>
        <v>25542.13</v>
      </c>
      <c r="W14" s="51">
        <f>SUMIFS(水表!$C:$C,水表!$B:$B,W$3,水表!$A:$A,$B14)</f>
        <v>1295</v>
      </c>
      <c r="X14" s="51">
        <f>SUMIFS(水表!$C:$C,水表!$B:$B,X$3,水表!$A:$A,$B14)</f>
        <v>0</v>
      </c>
      <c r="Y14" s="51">
        <f>SUMIFS(水表!$C:$C,水表!$B:$B,Y$3,水表!$A:$A,$B14)</f>
        <v>363</v>
      </c>
      <c r="Z14" s="52">
        <f t="shared" si="17"/>
        <v>125</v>
      </c>
      <c r="AA14" s="51">
        <f t="shared" si="11"/>
        <v>9.3000000000000007</v>
      </c>
      <c r="AB14" s="52">
        <f t="shared" si="12"/>
        <v>1162.5</v>
      </c>
    </row>
    <row r="15" spans="1:28" ht="18.75" customHeight="1" x14ac:dyDescent="0.2">
      <c r="A15" s="43">
        <f t="shared" ref="A15" si="23">DATE(YEAR(A14), MONTH(A14) + 1, DAY(A14))</f>
        <v>45170</v>
      </c>
      <c r="B15" s="43">
        <f t="shared" si="3"/>
        <v>45200</v>
      </c>
      <c r="C15" s="51">
        <f>SUMIFS(电表!$C:$C,电表!$B:$B,C$3,电表!$A:$A,$B15)</f>
        <v>973</v>
      </c>
      <c r="D15" s="51">
        <f>SUMIFS(电表!$C:$C,电表!$B:$B,D$3,电表!$A:$A,$B15)</f>
        <v>2296</v>
      </c>
      <c r="E15" s="51">
        <f>SUMIFS(电表!$C:$C,电表!$B:$B,E$3,电表!$A:$A,$B15)</f>
        <v>0</v>
      </c>
      <c r="F15" s="51">
        <f>SUMIFS(电表!$C:$C,电表!$B:$B,F$3,电表!$A:$A,$B15)</f>
        <v>0</v>
      </c>
      <c r="G15" s="51">
        <f>SUMIFS(电表!$C:$C,电表!$B:$B,G$3,电表!$A:$A,$B15)</f>
        <v>-57378.92</v>
      </c>
      <c r="H15" s="52">
        <f t="shared" si="15"/>
        <v>8300</v>
      </c>
      <c r="I15" s="51">
        <f>SUMIFS(电表!$D:$D,电表!$B:$B,C$3,电表!$A:$A,$B15)</f>
        <v>1.0023</v>
      </c>
      <c r="J15" s="52">
        <f t="shared" si="5"/>
        <v>8319.09</v>
      </c>
      <c r="K15" s="51">
        <f>SUMIFS(水表!$C:$C,水表!$B:$B,K$3,水表!$A:$A,$B15)</f>
        <v>3848</v>
      </c>
      <c r="L15" s="51">
        <f>SUMIFS(水表!$C:$C,水表!$B:$B,L$3,水表!$A:$A,$B15)</f>
        <v>0</v>
      </c>
      <c r="M15" s="51">
        <f>SUMIFS(水表!$C:$C,水表!$B:$B,M$3,水表!$A:$A,$B15)</f>
        <v>0</v>
      </c>
      <c r="N15" s="51">
        <f>SUMIFS(水表!$C:$C,水表!$B:$B,N$3,水表!$A:$A,$B15)</f>
        <v>-463</v>
      </c>
      <c r="O15" s="52">
        <f t="shared" si="16"/>
        <v>53</v>
      </c>
      <c r="P15" s="46">
        <f>SUMIFS(水表!$D:$D,水表!$B:$B,K$3,水表!$A:$A,B15)</f>
        <v>9.3000000000000007</v>
      </c>
      <c r="Q15" s="52">
        <f t="shared" si="7"/>
        <v>492.9</v>
      </c>
      <c r="R15" s="51">
        <f>SUMIFS(电表!$C:$C,电表!$B:$B,R$3,电表!$A:$A,$B15)</f>
        <v>5274</v>
      </c>
      <c r="S15" s="51">
        <f>SUMIFS(电表!$C:$C,电表!$B:$B,S$3,电表!$A:$A,$B15)</f>
        <v>57378.92</v>
      </c>
      <c r="T15" s="52">
        <f t="shared" si="0"/>
        <v>26820</v>
      </c>
      <c r="U15" s="51">
        <f t="shared" si="8"/>
        <v>1.0023</v>
      </c>
      <c r="V15" s="52">
        <f t="shared" si="9"/>
        <v>26881.69</v>
      </c>
      <c r="W15" s="51">
        <f>SUMIFS(水表!$C:$C,水表!$B:$B,W$3,水表!$A:$A,$B15)</f>
        <v>1331</v>
      </c>
      <c r="X15" s="51">
        <f>SUMIFS(水表!$C:$C,水表!$B:$B,X$3,水表!$A:$A,$B15)</f>
        <v>0</v>
      </c>
      <c r="Y15" s="51">
        <f>SUMIFS(水表!$C:$C,水表!$B:$B,Y$3,水表!$A:$A,$B15)</f>
        <v>463</v>
      </c>
      <c r="Z15" s="52">
        <f t="shared" si="17"/>
        <v>136</v>
      </c>
      <c r="AA15" s="51">
        <f t="shared" si="11"/>
        <v>9.3000000000000007</v>
      </c>
      <c r="AB15" s="52">
        <f t="shared" si="12"/>
        <v>1264.8</v>
      </c>
    </row>
    <row r="16" spans="1:28" ht="18.75" customHeight="1" x14ac:dyDescent="0.2">
      <c r="A16" s="43">
        <f t="shared" ref="A16" si="24">DATE(YEAR(A15), MONTH(A15) + 1, DAY(A15))</f>
        <v>45200</v>
      </c>
      <c r="B16" s="43">
        <f t="shared" si="3"/>
        <v>45231</v>
      </c>
      <c r="C16" s="51">
        <f>SUMIFS(电表!$C:$C,电表!$B:$B,C$3,电表!$A:$A,$B16)</f>
        <v>997</v>
      </c>
      <c r="D16" s="51">
        <f>SUMIFS(电表!$C:$C,电表!$B:$B,D$3,电表!$A:$A,$B16)</f>
        <v>2378</v>
      </c>
      <c r="E16" s="51">
        <f>SUMIFS(电表!$C:$C,电表!$B:$B,E$3,电表!$A:$A,$B16)</f>
        <v>0</v>
      </c>
      <c r="F16" s="51">
        <f>SUMIFS(电表!$C:$C,电表!$B:$B,F$3,电表!$A:$A,$B16)</f>
        <v>0</v>
      </c>
      <c r="G16" s="51">
        <f>SUMIFS(电表!$C:$C,电表!$B:$B,G$3,电表!$A:$A,$B16)</f>
        <v>-61969.919999999998</v>
      </c>
      <c r="H16" s="52">
        <f t="shared" si="15"/>
        <v>8129</v>
      </c>
      <c r="I16" s="51">
        <f>SUMIFS(电表!$D:$D,电表!$B:$B,C$3,电表!$A:$A,$B16)</f>
        <v>1.089</v>
      </c>
      <c r="J16" s="52">
        <f t="shared" si="5"/>
        <v>8852.48</v>
      </c>
      <c r="K16" s="51">
        <f>SUMIFS(水表!$C:$C,水表!$B:$B,K$3,水表!$A:$A,$B16)</f>
        <v>3961</v>
      </c>
      <c r="L16" s="51">
        <f>SUMIFS(水表!$C:$C,水表!$B:$B,L$3,水表!$A:$A,$B16)</f>
        <v>0</v>
      </c>
      <c r="M16" s="51">
        <f>SUMIFS(水表!$C:$C,水表!$B:$B,M$3,水表!$A:$A,$B16)</f>
        <v>0</v>
      </c>
      <c r="N16" s="51">
        <f>SUMIFS(水表!$C:$C,水表!$B:$B,N$3,水表!$A:$A,$B16)</f>
        <v>-513</v>
      </c>
      <c r="O16" s="52">
        <f t="shared" si="16"/>
        <v>63</v>
      </c>
      <c r="P16" s="46">
        <f>SUMIFS(水表!$D:$D,水表!$B:$B,K$3,水表!$A:$A,B16)</f>
        <v>9.3000000000000007</v>
      </c>
      <c r="Q16" s="52">
        <f t="shared" si="7"/>
        <v>585.9</v>
      </c>
      <c r="R16" s="51">
        <f>SUMIFS(电表!$C:$C,电表!$B:$B,R$3,电表!$A:$A,$B16)</f>
        <v>5437</v>
      </c>
      <c r="S16" s="51">
        <f>SUMIFS(电表!$C:$C,电表!$B:$B,S$3,电表!$A:$A,$B16)</f>
        <v>61969.919999999998</v>
      </c>
      <c r="T16" s="52">
        <f t="shared" si="0"/>
        <v>17631</v>
      </c>
      <c r="U16" s="51">
        <f t="shared" si="8"/>
        <v>1.089</v>
      </c>
      <c r="V16" s="52">
        <f t="shared" si="9"/>
        <v>19200.16</v>
      </c>
      <c r="W16" s="51">
        <f>SUMIFS(水表!$C:$C,水表!$B:$B,W$3,水表!$A:$A,$B16)</f>
        <v>1366</v>
      </c>
      <c r="X16" s="51">
        <f>SUMIFS(水表!$C:$C,水表!$B:$B,X$3,水表!$A:$A,$B16)</f>
        <v>0</v>
      </c>
      <c r="Y16" s="51">
        <f>SUMIFS(水表!$C:$C,水表!$B:$B,Y$3,水表!$A:$A,$B16)</f>
        <v>513</v>
      </c>
      <c r="Z16" s="52">
        <f t="shared" si="17"/>
        <v>85</v>
      </c>
      <c r="AA16" s="51">
        <f t="shared" si="11"/>
        <v>9.3000000000000007</v>
      </c>
      <c r="AB16" s="52">
        <f t="shared" si="12"/>
        <v>790.5</v>
      </c>
    </row>
    <row r="17" spans="1:28" ht="18.75" customHeight="1" x14ac:dyDescent="0.2">
      <c r="A17" s="43">
        <f t="shared" ref="A17" si="25">DATE(YEAR(A16), MONTH(A16) + 1, DAY(A16))</f>
        <v>45231</v>
      </c>
      <c r="B17" s="43">
        <f t="shared" si="3"/>
        <v>45261</v>
      </c>
      <c r="C17" s="51">
        <f>SUMIFS(电表!$C:$C,电表!$B:$B,C$3,电表!$A:$A,$B17)</f>
        <v>1024</v>
      </c>
      <c r="D17" s="51">
        <f>SUMIFS(电表!$C:$C,电表!$B:$B,D$3,电表!$A:$A,$B17)</f>
        <v>2443</v>
      </c>
      <c r="E17" s="51">
        <f>SUMIFS(电表!$C:$C,电表!$B:$B,E$3,电表!$A:$A,$B17)</f>
        <v>0</v>
      </c>
      <c r="F17" s="51">
        <f>SUMIFS(电表!$C:$C,电表!$B:$B,F$3,电表!$A:$A,$B17)</f>
        <v>0</v>
      </c>
      <c r="G17" s="51">
        <f>SUMIFS(电表!$C:$C,电表!$B:$B,G$3,电表!$A:$A,$B17)</f>
        <v>-65969.919999999998</v>
      </c>
      <c r="H17" s="52">
        <f t="shared" si="15"/>
        <v>7040</v>
      </c>
      <c r="I17" s="51">
        <f>SUMIFS(电表!$D:$D,电表!$B:$B,C$3,电表!$A:$A,$B17)</f>
        <v>1.0588810966810969</v>
      </c>
      <c r="J17" s="52">
        <f t="shared" si="5"/>
        <v>7454.52</v>
      </c>
      <c r="K17" s="51">
        <f>SUMIFS(水表!$C:$C,水表!$B:$B,K$3,水表!$A:$A,$B17)</f>
        <v>4082</v>
      </c>
      <c r="L17" s="51">
        <f>SUMIFS(水表!$C:$C,水表!$B:$B,L$3,水表!$A:$A,$B17)</f>
        <v>0</v>
      </c>
      <c r="M17" s="51">
        <f>SUMIFS(水表!$C:$C,水表!$B:$B,M$3,水表!$A:$A,$B17)</f>
        <v>0</v>
      </c>
      <c r="N17" s="51">
        <f>SUMIFS(水表!$C:$C,水表!$B:$B,N$3,水表!$A:$A,$B17)</f>
        <v>-573</v>
      </c>
      <c r="O17" s="52">
        <f t="shared" si="16"/>
        <v>61</v>
      </c>
      <c r="P17" s="46">
        <f>SUMIFS(水表!$D:$D,水表!$B:$B,K$3,水表!$A:$A,B17)</f>
        <v>9.3000000000000007</v>
      </c>
      <c r="Q17" s="52">
        <f t="shared" si="7"/>
        <v>567.29999999999995</v>
      </c>
      <c r="R17" s="51">
        <f>SUMIFS(电表!$C:$C,电表!$B:$B,R$3,电表!$A:$A,$B17)</f>
        <v>5633</v>
      </c>
      <c r="S17" s="51">
        <f>SUMIFS(电表!$C:$C,电表!$B:$B,S$3,电表!$A:$A,$B17)</f>
        <v>65969.919999999998</v>
      </c>
      <c r="T17" s="52">
        <f t="shared" si="0"/>
        <v>19680</v>
      </c>
      <c r="U17" s="51">
        <f t="shared" si="8"/>
        <v>1.0588810966810969</v>
      </c>
      <c r="V17" s="52">
        <f t="shared" si="9"/>
        <v>20838.78</v>
      </c>
      <c r="W17" s="51">
        <f>SUMIFS(水表!$C:$C,水表!$B:$B,W$3,水表!$A:$A,$B17)</f>
        <v>1392</v>
      </c>
      <c r="X17" s="51">
        <f>SUMIFS(水表!$C:$C,水表!$B:$B,X$3,水表!$A:$A,$B17)</f>
        <v>0</v>
      </c>
      <c r="Y17" s="51">
        <f>SUMIFS(水表!$C:$C,水表!$B:$B,Y$3,水表!$A:$A,$B17)</f>
        <v>573</v>
      </c>
      <c r="Z17" s="52">
        <f t="shared" si="17"/>
        <v>86</v>
      </c>
      <c r="AA17" s="51">
        <f t="shared" si="11"/>
        <v>9.3000000000000007</v>
      </c>
      <c r="AB17" s="52">
        <f t="shared" si="12"/>
        <v>799.8</v>
      </c>
    </row>
    <row r="18" spans="1:28" ht="18.75" customHeight="1" x14ac:dyDescent="0.2">
      <c r="A18" s="43">
        <f t="shared" ref="A18" si="26">DATE(YEAR(A17), MONTH(A17) + 1, DAY(A17))</f>
        <v>45261</v>
      </c>
      <c r="B18" s="43">
        <f t="shared" si="3"/>
        <v>45292</v>
      </c>
      <c r="C18" s="51">
        <f>SUMIFS(电表!$C:$C,电表!$B:$B,C$3,电表!$A:$A,$B18)</f>
        <v>1068</v>
      </c>
      <c r="D18" s="51">
        <f>SUMIFS(电表!$C:$C,电表!$B:$B,D$3,电表!$A:$A,$B18)</f>
        <v>2519</v>
      </c>
      <c r="E18" s="51">
        <f>SUMIFS(电表!$C:$C,电表!$B:$B,E$3,电表!$A:$A,$B18)</f>
        <v>0</v>
      </c>
      <c r="F18" s="51">
        <f>SUMIFS(电表!$C:$C,电表!$B:$B,F$3,电表!$A:$A,$B18)</f>
        <v>0</v>
      </c>
      <c r="G18" s="51">
        <f>SUMIFS(电表!$C:$C,电表!$B:$B,G$3,电表!$A:$A,$B18)</f>
        <v>-69469.919999999998</v>
      </c>
      <c r="H18" s="52">
        <f t="shared" si="15"/>
        <v>10900</v>
      </c>
      <c r="I18" s="51">
        <f>SUMIFS(电表!$D:$D,电表!$B:$B,C$3,电表!$A:$A,$B18)</f>
        <v>0.98025952960259521</v>
      </c>
      <c r="J18" s="52">
        <f t="shared" si="5"/>
        <v>10684.83</v>
      </c>
      <c r="K18" s="51">
        <f>SUMIFS(水表!$C:$C,水表!$B:$B,K$3,水表!$A:$A,$B18)</f>
        <v>4222</v>
      </c>
      <c r="L18" s="51">
        <f>SUMIFS(水表!$C:$C,水表!$B:$B,L$3,水表!$A:$A,$B18)</f>
        <v>0</v>
      </c>
      <c r="M18" s="51">
        <f>SUMIFS(水表!$C:$C,水表!$B:$B,M$3,水表!$A:$A,$B18)</f>
        <v>0</v>
      </c>
      <c r="N18" s="51">
        <f>SUMIFS(水表!$C:$C,水表!$B:$B,N$3,水表!$A:$A,$B18)</f>
        <v>-618</v>
      </c>
      <c r="O18" s="52">
        <f t="shared" si="16"/>
        <v>95</v>
      </c>
      <c r="P18" s="46">
        <f>SUMIFS(水表!$D:$D,水表!$B:$B,K$3,水表!$A:$A,B18)</f>
        <v>9.3000000000000007</v>
      </c>
      <c r="Q18" s="52">
        <f t="shared" si="7"/>
        <v>883.5</v>
      </c>
      <c r="R18" s="51">
        <f>SUMIFS(电表!$C:$C,电表!$B:$B,R$3,电表!$A:$A,$B18)</f>
        <v>5918</v>
      </c>
      <c r="S18" s="51">
        <f>SUMIFS(电表!$C:$C,电表!$B:$B,S$3,电表!$A:$A,$B18)</f>
        <v>69469.919999999998</v>
      </c>
      <c r="T18" s="52">
        <f t="shared" si="0"/>
        <v>26300</v>
      </c>
      <c r="U18" s="51">
        <f t="shared" si="8"/>
        <v>0.98025952960259521</v>
      </c>
      <c r="V18" s="52">
        <f t="shared" si="9"/>
        <v>25780.83</v>
      </c>
      <c r="W18" s="51">
        <f>SUMIFS(水表!$C:$C,水表!$B:$B,W$3,水表!$A:$A,$B18)</f>
        <v>1424</v>
      </c>
      <c r="X18" s="51">
        <f>SUMIFS(水表!$C:$C,水表!$B:$B,X$3,水表!$A:$A,$B18)</f>
        <v>0</v>
      </c>
      <c r="Y18" s="51">
        <f>SUMIFS(水表!$C:$C,水表!$B:$B,Y$3,水表!$A:$A,$B18)</f>
        <v>618</v>
      </c>
      <c r="Z18" s="52">
        <f t="shared" si="17"/>
        <v>77</v>
      </c>
      <c r="AA18" s="51">
        <f t="shared" si="11"/>
        <v>9.3000000000000007</v>
      </c>
      <c r="AB18" s="52">
        <f t="shared" si="12"/>
        <v>716.1</v>
      </c>
    </row>
    <row r="19" spans="1:28" ht="18.75" customHeight="1" x14ac:dyDescent="0.2">
      <c r="A19" s="43">
        <f t="shared" ref="A19" si="27">DATE(YEAR(A18), MONTH(A18) + 1, DAY(A18))</f>
        <v>45292</v>
      </c>
      <c r="B19" s="43">
        <f t="shared" si="3"/>
        <v>45323</v>
      </c>
      <c r="C19" s="51">
        <f>SUMIFS(电表!$C:$C,电表!$B:$B,C$3,电表!$A:$A,$B19)</f>
        <v>1108</v>
      </c>
      <c r="D19" s="51">
        <f>SUMIFS(电表!$C:$C,电表!$B:$B,D$3,电表!$A:$A,$B19)</f>
        <v>2607</v>
      </c>
      <c r="E19" s="51">
        <f>SUMIFS(电表!$C:$C,电表!$B:$B,E$3,电表!$A:$A,$B19)</f>
        <v>51</v>
      </c>
      <c r="F19" s="51">
        <f>SUMIFS(电表!$C:$C,电表!$B:$B,F$3,电表!$A:$A,$B19)</f>
        <v>0</v>
      </c>
      <c r="G19" s="51">
        <f>SUMIFS(电表!$C:$C,电表!$B:$B,G$3,电表!$A:$A,$B19)</f>
        <v>-69469.919999999998</v>
      </c>
      <c r="H19" s="52">
        <f t="shared" ref="H19:H41" si="28">IF(SUM(C19:E19)&lt;=0,0,(C19-C18)*C$4+(D19-D18)*D$4+(E19-E18)*E$4+(F19-F18)*F$4+(G19-G18)*G$4)</f>
        <v>17400</v>
      </c>
      <c r="I19" s="51">
        <f>SUMIFS(电表!$D:$D,电表!$B:$B,C$3,电表!$A:$A,$B19)</f>
        <v>1.035442200203252</v>
      </c>
      <c r="J19" s="52">
        <f t="shared" si="5"/>
        <v>18016.689999999999</v>
      </c>
      <c r="K19" s="51">
        <f>SUMIFS(水表!$C:$C,水表!$B:$B,K$3,水表!$A:$A,$B19)</f>
        <v>4452</v>
      </c>
      <c r="L19" s="51">
        <f>SUMIFS(水表!$C:$C,水表!$B:$B,L$3,水表!$A:$A,$B19)</f>
        <v>0</v>
      </c>
      <c r="M19" s="51">
        <f>SUMIFS(水表!$C:$C,水表!$B:$B,M$3,水表!$A:$A,$B19)</f>
        <v>0</v>
      </c>
      <c r="N19" s="51">
        <f>SUMIFS(水表!$C:$C,水表!$B:$B,N$3,水表!$A:$A,$B19)</f>
        <v>-718</v>
      </c>
      <c r="O19" s="52">
        <f t="shared" si="16"/>
        <v>130</v>
      </c>
      <c r="P19" s="46">
        <f>SUMIFS(水表!$D:$D,水表!$B:$B,K$3,水表!$A:$A,B19)</f>
        <v>9.3000000000000007</v>
      </c>
      <c r="Q19" s="52">
        <f t="shared" si="7"/>
        <v>1209</v>
      </c>
      <c r="R19" s="51">
        <f>SUMIFS(电表!$C:$C,电表!$B:$B,R$3,电表!$A:$A,$B19)</f>
        <v>6182</v>
      </c>
      <c r="S19" s="51">
        <f>SUMIFS(电表!$C:$C,电表!$B:$B,S$3,电表!$A:$A,$B19)</f>
        <v>69469.919999999998</v>
      </c>
      <c r="T19" s="52">
        <f t="shared" si="0"/>
        <v>21120</v>
      </c>
      <c r="U19" s="51">
        <f t="shared" si="8"/>
        <v>1.035442200203252</v>
      </c>
      <c r="V19" s="52">
        <f t="shared" si="9"/>
        <v>21868.54</v>
      </c>
      <c r="W19" s="51">
        <f>SUMIFS(水表!$C:$C,水表!$B:$B,W$3,水表!$A:$A,$B19)</f>
        <v>1454</v>
      </c>
      <c r="X19" s="51">
        <f>SUMIFS(水表!$C:$C,水表!$B:$B,X$3,水表!$A:$A,$B19)</f>
        <v>0</v>
      </c>
      <c r="Y19" s="51">
        <f>SUMIFS(水表!$C:$C,水表!$B:$B,Y$3,水表!$A:$A,$B19)</f>
        <v>718</v>
      </c>
      <c r="Z19" s="52">
        <f t="shared" si="17"/>
        <v>130</v>
      </c>
      <c r="AA19" s="51">
        <f t="shared" si="11"/>
        <v>9.3000000000000007</v>
      </c>
      <c r="AB19" s="52">
        <f t="shared" si="12"/>
        <v>1209</v>
      </c>
    </row>
    <row r="20" spans="1:28" ht="18.75" customHeight="1" x14ac:dyDescent="0.2">
      <c r="A20" s="43">
        <f t="shared" ref="A20" si="29">DATE(YEAR(A19), MONTH(A19) + 1, DAY(A19))</f>
        <v>45323</v>
      </c>
      <c r="B20" s="43">
        <f t="shared" si="3"/>
        <v>45352</v>
      </c>
      <c r="C20" s="51">
        <f>SUMIFS(电表!$C:$C,电表!$B:$B,C$3,电表!$A:$A,$B20)</f>
        <v>1147</v>
      </c>
      <c r="D20" s="51">
        <f>SUMIFS(电表!$C:$C,电表!$B:$B,D$3,电表!$A:$A,$B20)</f>
        <v>2717</v>
      </c>
      <c r="E20" s="51">
        <f>SUMIFS(电表!$C:$C,电表!$B:$B,E$3,电表!$A:$A,$B20)</f>
        <v>109</v>
      </c>
      <c r="F20" s="51">
        <f>SUMIFS(电表!$C:$C,电表!$B:$B,F$3,电表!$A:$A,$B20)</f>
        <v>0</v>
      </c>
      <c r="G20" s="51">
        <f>SUMIFS(电表!$C:$C,电表!$B:$B,G$3,电表!$A:$A,$B20)</f>
        <v>-71469.919999999998</v>
      </c>
      <c r="H20" s="52">
        <f t="shared" si="28"/>
        <v>18200</v>
      </c>
      <c r="I20" s="51">
        <f>SUMIFS(电表!$D:$D,电表!$B:$B,C$3,电表!$A:$A,$B20)</f>
        <v>1.1498299999999999</v>
      </c>
      <c r="J20" s="52">
        <f t="shared" si="5"/>
        <v>20926.91</v>
      </c>
      <c r="K20" s="51">
        <f>SUMIFS(水表!$C:$C,水表!$B:$B,K$3,水表!$A:$A,$B20)</f>
        <v>4838</v>
      </c>
      <c r="L20" s="51">
        <f>SUMIFS(水表!$C:$C,水表!$B:$B,L$3,水表!$A:$A,$B20)</f>
        <v>0</v>
      </c>
      <c r="M20" s="51">
        <f>SUMIFS(水表!$C:$C,水表!$B:$B,M$3,水表!$A:$A,$B20)</f>
        <v>0</v>
      </c>
      <c r="N20" s="51">
        <f>SUMIFS(水表!$C:$C,水表!$B:$B,N$3,水表!$A:$A,$B20)</f>
        <v>-738</v>
      </c>
      <c r="O20" s="52">
        <f t="shared" si="16"/>
        <v>366</v>
      </c>
      <c r="P20" s="46">
        <f>SUMIFS(水表!$D:$D,水表!$B:$B,K$3,水表!$A:$A,B20)</f>
        <v>9.3000000000000007</v>
      </c>
      <c r="Q20" s="52">
        <f t="shared" si="7"/>
        <v>3403.8</v>
      </c>
      <c r="R20" s="51">
        <f>SUMIFS(电表!$C:$C,电表!$B:$B,R$3,电表!$A:$A,$B20)</f>
        <v>6346</v>
      </c>
      <c r="S20" s="51">
        <f>SUMIFS(电表!$C:$C,电表!$B:$B,S$3,电表!$A:$A,$B20)</f>
        <v>71469.919999999998</v>
      </c>
      <c r="T20" s="52">
        <f t="shared" si="0"/>
        <v>15120</v>
      </c>
      <c r="U20" s="51">
        <f t="shared" si="8"/>
        <v>1.1498299999999999</v>
      </c>
      <c r="V20" s="52">
        <f t="shared" si="9"/>
        <v>17385.43</v>
      </c>
      <c r="W20" s="51">
        <f>SUMIFS(水表!$C:$C,水表!$B:$B,W$3,水表!$A:$A,$B20)</f>
        <v>1473</v>
      </c>
      <c r="X20" s="51">
        <f>SUMIFS(水表!$C:$C,水表!$B:$B,X$3,水表!$A:$A,$B20)</f>
        <v>0</v>
      </c>
      <c r="Y20" s="51">
        <f>SUMIFS(水表!$C:$C,水表!$B:$B,Y$3,水表!$A:$A,$B20)</f>
        <v>738</v>
      </c>
      <c r="Z20" s="52">
        <f t="shared" si="17"/>
        <v>39</v>
      </c>
      <c r="AA20" s="51">
        <f t="shared" si="11"/>
        <v>9.3000000000000007</v>
      </c>
      <c r="AB20" s="52">
        <f t="shared" si="12"/>
        <v>362.7</v>
      </c>
    </row>
    <row r="21" spans="1:28" ht="18.75" customHeight="1" x14ac:dyDescent="0.2">
      <c r="A21" s="43">
        <f t="shared" ref="A21" si="30">DATE(YEAR(A20), MONTH(A20) + 1, DAY(A20))</f>
        <v>45352</v>
      </c>
      <c r="B21" s="43">
        <f t="shared" si="3"/>
        <v>45383</v>
      </c>
      <c r="C21" s="51">
        <f>SUMIFS(电表!$C:$C,电表!$B:$B,C$3,电表!$A:$A,$B21)</f>
        <v>1178</v>
      </c>
      <c r="D21" s="51">
        <f>SUMIFS(电表!$C:$C,电表!$B:$B,D$3,电表!$A:$A,$B21)</f>
        <v>2808</v>
      </c>
      <c r="E21" s="51">
        <f>SUMIFS(电表!$C:$C,电表!$B:$B,E$3,电表!$A:$A,$B21)</f>
        <v>138</v>
      </c>
      <c r="F21" s="51">
        <f>SUMIFS(电表!$C:$C,电表!$B:$B,F$3,电表!$A:$A,$B21)</f>
        <v>-100</v>
      </c>
      <c r="G21" s="51">
        <f>SUMIFS(电表!$C:$C,电表!$B:$B,G$3,电表!$A:$A,$B21)</f>
        <v>-73469.919999999998</v>
      </c>
      <c r="H21" s="52">
        <f t="shared" si="28"/>
        <v>13700</v>
      </c>
      <c r="I21" s="51">
        <f>SUMIFS(电表!$D:$D,电表!$B:$B,C$3,电表!$A:$A,$B21)</f>
        <v>1.0678099999999999</v>
      </c>
      <c r="J21" s="52">
        <f t="shared" si="5"/>
        <v>14629</v>
      </c>
      <c r="K21" s="51">
        <f>SUMIFS(水表!$C:$C,水表!$B:$B,K$3,水表!$A:$A,$B21)</f>
        <v>4984</v>
      </c>
      <c r="L21" s="51">
        <f>SUMIFS(水表!$C:$C,水表!$B:$B,L$3,水表!$A:$A,$B21)</f>
        <v>0</v>
      </c>
      <c r="M21" s="51">
        <f>SUMIFS(水表!$C:$C,水表!$B:$B,M$3,水表!$A:$A,$B21)</f>
        <v>0</v>
      </c>
      <c r="N21" s="51">
        <f>SUMIFS(水表!$C:$C,水表!$B:$B,N$3,水表!$A:$A,$B21)</f>
        <v>-788</v>
      </c>
      <c r="O21" s="52">
        <f t="shared" si="16"/>
        <v>96</v>
      </c>
      <c r="P21" s="46">
        <f>SUMIFS(水表!$D:$D,水表!$B:$B,K$3,水表!$A:$A,B21)</f>
        <v>9.3000000000000007</v>
      </c>
      <c r="Q21" s="52">
        <f t="shared" si="7"/>
        <v>892.8</v>
      </c>
      <c r="R21" s="51">
        <f>SUMIFS(电表!$C:$C,电表!$B:$B,R$3,电表!$A:$A,$B21)</f>
        <v>6552</v>
      </c>
      <c r="S21" s="51">
        <f>SUMIFS(电表!$C:$C,电表!$B:$B,S$3,电表!$A:$A,$B21)</f>
        <v>73469.919999999998</v>
      </c>
      <c r="T21" s="52">
        <f t="shared" si="0"/>
        <v>18480</v>
      </c>
      <c r="U21" s="51">
        <f t="shared" si="8"/>
        <v>1.0678099999999999</v>
      </c>
      <c r="V21" s="52">
        <f t="shared" si="9"/>
        <v>19733.13</v>
      </c>
      <c r="W21" s="51">
        <f>SUMIFS(水表!$C:$C,水表!$B:$B,W$3,水表!$A:$A,$B21)</f>
        <v>1499</v>
      </c>
      <c r="X21" s="51">
        <f>SUMIFS(水表!$C:$C,水表!$B:$B,X$3,水表!$A:$A,$B21)</f>
        <v>0</v>
      </c>
      <c r="Y21" s="51">
        <f>SUMIFS(水表!$C:$C,水表!$B:$B,Y$3,水表!$A:$A,$B21)</f>
        <v>788</v>
      </c>
      <c r="Z21" s="52">
        <f t="shared" si="17"/>
        <v>76</v>
      </c>
      <c r="AA21" s="51">
        <f t="shared" si="11"/>
        <v>9.3000000000000007</v>
      </c>
      <c r="AB21" s="52">
        <f t="shared" si="12"/>
        <v>706.8</v>
      </c>
    </row>
    <row r="22" spans="1:28" ht="18.75" customHeight="1" x14ac:dyDescent="0.2">
      <c r="A22" s="43">
        <f t="shared" ref="A22" si="31">DATE(YEAR(A21), MONTH(A21) + 1, DAY(A21))</f>
        <v>45383</v>
      </c>
      <c r="B22" s="43">
        <f t="shared" si="3"/>
        <v>45413</v>
      </c>
      <c r="C22" s="51">
        <f>SUMIFS(电表!$C:$C,电表!$B:$B,C$3,电表!$A:$A,$B22)</f>
        <v>1204</v>
      </c>
      <c r="D22" s="51">
        <f>SUMIFS(电表!$C:$C,电表!$B:$B,D$3,电表!$A:$A,$B22)</f>
        <v>2880</v>
      </c>
      <c r="E22" s="51">
        <f>SUMIFS(电表!$C:$C,电表!$B:$B,E$3,电表!$A:$A,$B22)</f>
        <v>154</v>
      </c>
      <c r="F22" s="51">
        <f>SUMIFS(电表!$C:$C,电表!$B:$B,F$3,电表!$A:$A,$B22)</f>
        <v>-100</v>
      </c>
      <c r="G22" s="51">
        <f>SUMIFS(电表!$C:$C,电表!$B:$B,G$3,电表!$A:$A,$B22)</f>
        <v>-76469.919999999998</v>
      </c>
      <c r="H22" s="52">
        <f t="shared" si="28"/>
        <v>9400</v>
      </c>
      <c r="I22" s="51">
        <f>SUMIFS(电表!$D:$D,电表!$B:$B,C$3,电表!$A:$A,$B22)</f>
        <v>1.1263000000000001</v>
      </c>
      <c r="J22" s="52">
        <f t="shared" si="5"/>
        <v>10587.22</v>
      </c>
      <c r="K22" s="51">
        <f>SUMIFS(水表!$C:$C,水表!$B:$B,K$3,水表!$A:$A,$B22)</f>
        <v>5060</v>
      </c>
      <c r="L22" s="51">
        <f>SUMIFS(水表!$C:$C,水表!$B:$B,L$3,水表!$A:$A,$B22)</f>
        <v>0</v>
      </c>
      <c r="M22" s="51">
        <f>SUMIFS(水表!$C:$C,水表!$B:$B,M$3,水表!$A:$A,$B22)</f>
        <v>0</v>
      </c>
      <c r="N22" s="51">
        <f>SUMIFS(水表!$C:$C,水表!$B:$B,N$3,水表!$A:$A,$B22)</f>
        <v>-808</v>
      </c>
      <c r="O22" s="52">
        <f t="shared" si="16"/>
        <v>56</v>
      </c>
      <c r="P22" s="46">
        <f>SUMIFS(水表!$D:$D,水表!$B:$B,K$3,水表!$A:$A,B22)</f>
        <v>9.3000000000000007</v>
      </c>
      <c r="Q22" s="52">
        <f t="shared" si="7"/>
        <v>520.79999999999995</v>
      </c>
      <c r="R22" s="51">
        <f>SUMIFS(电表!$C:$C,电表!$B:$B,R$3,电表!$A:$A,$B22)</f>
        <v>6706</v>
      </c>
      <c r="S22" s="51">
        <f>SUMIFS(电表!$C:$C,电表!$B:$B,S$3,电表!$A:$A,$B22)</f>
        <v>76469.919999999998</v>
      </c>
      <c r="T22" s="52">
        <f t="shared" si="0"/>
        <v>15320</v>
      </c>
      <c r="U22" s="51">
        <f t="shared" si="8"/>
        <v>1.1263000000000001</v>
      </c>
      <c r="V22" s="52">
        <f t="shared" si="9"/>
        <v>17254.919999999998</v>
      </c>
      <c r="W22" s="51">
        <f>SUMIFS(水表!$C:$C,水表!$B:$B,W$3,水表!$A:$A,$B22)</f>
        <v>1520</v>
      </c>
      <c r="X22" s="51">
        <f>SUMIFS(水表!$C:$C,水表!$B:$B,X$3,水表!$A:$A,$B22)</f>
        <v>0</v>
      </c>
      <c r="Y22" s="51">
        <f>SUMIFS(水表!$C:$C,水表!$B:$B,Y$3,水表!$A:$A,$B22)</f>
        <v>808</v>
      </c>
      <c r="Z22" s="52">
        <f t="shared" si="17"/>
        <v>41</v>
      </c>
      <c r="AA22" s="51">
        <f t="shared" si="11"/>
        <v>9.3000000000000007</v>
      </c>
      <c r="AB22" s="52">
        <f t="shared" si="12"/>
        <v>381.3</v>
      </c>
    </row>
    <row r="23" spans="1:28" ht="18.75" customHeight="1" x14ac:dyDescent="0.2">
      <c r="A23" s="43">
        <f t="shared" ref="A23" si="32">DATE(YEAR(A22), MONTH(A22) + 1, DAY(A22))</f>
        <v>45413</v>
      </c>
      <c r="B23" s="43">
        <f t="shared" si="3"/>
        <v>45444</v>
      </c>
      <c r="C23" s="51">
        <f>SUMIFS(电表!$C:$C,电表!$B:$B,C$3,电表!$A:$A,$B23)</f>
        <v>1232</v>
      </c>
      <c r="D23" s="51">
        <f>SUMIFS(电表!$C:$C,电表!$B:$B,D$3,电表!$A:$A,$B23)</f>
        <v>2964</v>
      </c>
      <c r="E23" s="51">
        <f>SUMIFS(电表!$C:$C,电表!$B:$B,E$3,电表!$A:$A,$B23)</f>
        <v>166</v>
      </c>
      <c r="F23" s="51">
        <f>SUMIFS(电表!$C:$C,电表!$B:$B,F$3,电表!$A:$A,$B23)</f>
        <v>-100</v>
      </c>
      <c r="G23" s="51">
        <f>SUMIFS(电表!$C:$C,电表!$B:$B,G$3,电表!$A:$A,$B23)</f>
        <v>-78969.919999999998</v>
      </c>
      <c r="H23" s="52">
        <f t="shared" si="28"/>
        <v>11420</v>
      </c>
      <c r="I23" s="51">
        <f>SUMIFS(电表!$D:$D,电表!$B:$B,C$3,电表!$A:$A,$B23)</f>
        <v>0.98609999999999998</v>
      </c>
      <c r="J23" s="52">
        <f t="shared" si="5"/>
        <v>11261.26</v>
      </c>
      <c r="K23" s="51">
        <f>SUMIFS(水表!$C:$C,水表!$B:$B,K$3,水表!$A:$A,$B23)</f>
        <v>5163</v>
      </c>
      <c r="L23" s="51">
        <f>SUMIFS(水表!$C:$C,水表!$B:$B,L$3,水表!$A:$A,$B23)</f>
        <v>0</v>
      </c>
      <c r="M23" s="51">
        <f>SUMIFS(水表!$C:$C,水表!$B:$B,M$3,水表!$A:$A,$B23)</f>
        <v>0</v>
      </c>
      <c r="N23" s="51">
        <f>SUMIFS(水表!$C:$C,水表!$B:$B,N$3,水表!$A:$A,$B23)</f>
        <v>-838</v>
      </c>
      <c r="O23" s="52">
        <f t="shared" si="16"/>
        <v>73</v>
      </c>
      <c r="P23" s="46">
        <f>SUMIFS(水表!$D:$D,水表!$B:$B,K$3,水表!$A:$A,B23)</f>
        <v>9.3000000000000007</v>
      </c>
      <c r="Q23" s="52">
        <f t="shared" si="7"/>
        <v>678.9</v>
      </c>
      <c r="R23" s="51">
        <f>SUMIFS(电表!$C:$C,电表!$B:$B,R$3,电表!$A:$A,$B23)</f>
        <v>6836</v>
      </c>
      <c r="S23" s="51">
        <f>SUMIFS(电表!$C:$C,电表!$B:$B,S$3,电表!$A:$A,$B23)</f>
        <v>78969.919999999998</v>
      </c>
      <c r="T23" s="52">
        <f t="shared" si="0"/>
        <v>12900</v>
      </c>
      <c r="U23" s="51">
        <f t="shared" si="8"/>
        <v>0.98609999999999998</v>
      </c>
      <c r="V23" s="52">
        <f t="shared" si="9"/>
        <v>12720.69</v>
      </c>
      <c r="W23" s="51">
        <f>SUMIFS(水表!$C:$C,水表!$B:$B,W$3,水表!$A:$A,$B23)</f>
        <v>1542</v>
      </c>
      <c r="X23" s="51">
        <f>SUMIFS(水表!$C:$C,水表!$B:$B,X$3,水表!$A:$A,$B23)</f>
        <v>0</v>
      </c>
      <c r="Y23" s="51">
        <f>SUMIFS(水表!$C:$C,水表!$B:$B,Y$3,水表!$A:$A,$B23)</f>
        <v>838</v>
      </c>
      <c r="Z23" s="52">
        <f t="shared" si="17"/>
        <v>52</v>
      </c>
      <c r="AA23" s="51">
        <f t="shared" si="11"/>
        <v>9.3000000000000007</v>
      </c>
      <c r="AB23" s="52">
        <f t="shared" si="12"/>
        <v>483.6</v>
      </c>
    </row>
    <row r="24" spans="1:28" ht="18.75" customHeight="1" x14ac:dyDescent="0.2">
      <c r="A24" s="43">
        <f t="shared" ref="A24" si="33">DATE(YEAR(A23), MONTH(A23) + 1, DAY(A23))</f>
        <v>45444</v>
      </c>
      <c r="B24" s="43">
        <f t="shared" si="3"/>
        <v>45474</v>
      </c>
      <c r="C24" s="51">
        <f>SUMIFS(电表!$C:$C,电表!$B:$B,C$3,电表!$A:$A,$B24)</f>
        <v>1275</v>
      </c>
      <c r="D24" s="51">
        <f>SUMIFS(电表!$C:$C,电表!$B:$B,D$3,电表!$A:$A,$B24)</f>
        <v>3102</v>
      </c>
      <c r="E24" s="51">
        <f>SUMIFS(电表!$C:$C,电表!$B:$B,E$3,电表!$A:$A,$B24)</f>
        <v>186</v>
      </c>
      <c r="F24" s="51">
        <f>SUMIFS(电表!$C:$C,电表!$B:$B,F$3,电表!$A:$A,$B24)</f>
        <v>-100</v>
      </c>
      <c r="G24" s="51">
        <f>SUMIFS(电表!$C:$C,电表!$B:$B,G$3,电表!$A:$A,$B24)</f>
        <v>-83211.25</v>
      </c>
      <c r="H24" s="52">
        <f t="shared" si="28"/>
        <v>18278.669999999998</v>
      </c>
      <c r="I24" s="51">
        <f>SUMIFS(电表!$D:$D,电表!$B:$B,C$3,电表!$A:$A,$B24)</f>
        <v>0.94310000000000005</v>
      </c>
      <c r="J24" s="52">
        <f t="shared" si="5"/>
        <v>17238.61</v>
      </c>
      <c r="K24" s="51">
        <f>SUMIFS(水表!$C:$C,水表!$B:$B,K$3,水表!$A:$A,$B24)</f>
        <v>5375</v>
      </c>
      <c r="L24" s="51">
        <f>SUMIFS(水表!$C:$C,水表!$B:$B,L$3,水表!$A:$A,$B24)</f>
        <v>0</v>
      </c>
      <c r="M24" s="51">
        <f>SUMIFS(水表!$C:$C,水表!$B:$B,M$3,水表!$A:$A,$B24)</f>
        <v>0</v>
      </c>
      <c r="N24" s="51">
        <f>SUMIFS(水表!$C:$C,水表!$B:$B,N$3,水表!$A:$A,$B24)</f>
        <v>-878</v>
      </c>
      <c r="O24" s="52">
        <f t="shared" si="16"/>
        <v>172</v>
      </c>
      <c r="P24" s="46">
        <f>SUMIFS(水表!$D:$D,水表!$B:$B,K$3,水表!$A:$A,B24)</f>
        <v>9.3000000000000007</v>
      </c>
      <c r="Q24" s="52">
        <f t="shared" si="7"/>
        <v>1599.6</v>
      </c>
      <c r="R24" s="51">
        <f>SUMIFS(电表!$C:$C,电表!$B:$B,R$3,电表!$A:$A,$B24)</f>
        <v>6995</v>
      </c>
      <c r="S24" s="51">
        <f>SUMIFS(电表!$C:$C,电表!$B:$B,S$3,电表!$A:$A,$B24)</f>
        <v>83211.25</v>
      </c>
      <c r="T24" s="52">
        <f t="shared" si="0"/>
        <v>16961.330000000002</v>
      </c>
      <c r="U24" s="51">
        <f t="shared" si="8"/>
        <v>0.94310000000000005</v>
      </c>
      <c r="V24" s="52">
        <f t="shared" si="9"/>
        <v>15996.23</v>
      </c>
      <c r="W24" s="51">
        <f>SUMIFS(水表!$C:$C,水表!$B:$B,W$3,水表!$A:$A,$B24)</f>
        <v>1574</v>
      </c>
      <c r="X24" s="51">
        <f>SUMIFS(水表!$C:$C,水表!$B:$B,X$3,水表!$A:$A,$B24)</f>
        <v>0</v>
      </c>
      <c r="Y24" s="51">
        <f>SUMIFS(水表!$C:$C,水表!$B:$B,Y$3,水表!$A:$A,$B24)</f>
        <v>878</v>
      </c>
      <c r="Z24" s="52">
        <f t="shared" si="17"/>
        <v>72</v>
      </c>
      <c r="AA24" s="51">
        <f t="shared" si="11"/>
        <v>9.3000000000000007</v>
      </c>
      <c r="AB24" s="52">
        <f t="shared" si="12"/>
        <v>669.6</v>
      </c>
    </row>
    <row r="25" spans="1:28" ht="18.75" customHeight="1" x14ac:dyDescent="0.2">
      <c r="A25" s="43">
        <f t="shared" ref="A25" si="34">DATE(YEAR(A24), MONTH(A24) + 1, DAY(A24))</f>
        <v>45474</v>
      </c>
      <c r="B25" s="43">
        <f t="shared" si="3"/>
        <v>45505</v>
      </c>
      <c r="C25" s="51">
        <f>SUMIFS(电表!$C:$C,电表!$B:$B,C$3,电表!$A:$A,$B25)</f>
        <v>1321</v>
      </c>
      <c r="D25" s="51">
        <f>SUMIFS(电表!$C:$C,电表!$B:$B,D$3,电表!$A:$A,$B25)</f>
        <v>3242</v>
      </c>
      <c r="E25" s="51">
        <f>SUMIFS(电表!$C:$C,电表!$B:$B,E$3,电表!$A:$A,$B25)</f>
        <v>219</v>
      </c>
      <c r="F25" s="51">
        <f>SUMIFS(电表!$C:$C,电表!$B:$B,F$3,电表!$A:$A,$B25)</f>
        <v>-100</v>
      </c>
      <c r="G25" s="51">
        <f>SUMIFS(电表!$C:$C,电表!$B:$B,G$3,电表!$A:$A,$B25)</f>
        <v>-85211.25</v>
      </c>
      <c r="H25" s="52">
        <f t="shared" si="28"/>
        <v>21640</v>
      </c>
      <c r="I25" s="51">
        <f>SUMIFS(电表!$D:$D,电表!$B:$B,C$3,电表!$A:$A,$B25)</f>
        <v>1.0074000000000001</v>
      </c>
      <c r="J25" s="52">
        <f t="shared" si="5"/>
        <v>21800.14</v>
      </c>
      <c r="K25" s="51">
        <f>SUMIFS(水表!$C:$C,水表!$B:$B,K$3,水表!$A:$A,$B25)</f>
        <v>5536</v>
      </c>
      <c r="L25" s="51">
        <f>SUMIFS(水表!$C:$C,水表!$B:$B,L$3,水表!$A:$A,$B25)</f>
        <v>0</v>
      </c>
      <c r="M25" s="51">
        <f>SUMIFS(水表!$C:$C,水表!$B:$B,M$3,水表!$A:$A,$B25)</f>
        <v>0</v>
      </c>
      <c r="N25" s="51">
        <f>SUMIFS(水表!$C:$C,水表!$B:$B,N$3,水表!$A:$A,$B25)</f>
        <v>-908</v>
      </c>
      <c r="O25" s="52">
        <f t="shared" si="16"/>
        <v>131</v>
      </c>
      <c r="P25" s="46">
        <f>SUMIFS(水表!$D:$D,水表!$B:$B,K$3,水表!$A:$A,B25)</f>
        <v>9.3000000000000007</v>
      </c>
      <c r="Q25" s="52">
        <f t="shared" si="7"/>
        <v>1218.3</v>
      </c>
      <c r="R25" s="51">
        <f>SUMIFS(电表!$C:$C,电表!$B:$B,R$3,电表!$A:$A,$B25)</f>
        <v>7213</v>
      </c>
      <c r="S25" s="51">
        <f>SUMIFS(电表!$C:$C,电表!$B:$B,S$3,电表!$A:$A,$B25)</f>
        <v>85211.25</v>
      </c>
      <c r="T25" s="52">
        <f t="shared" si="0"/>
        <v>19440</v>
      </c>
      <c r="U25" s="51">
        <f t="shared" si="8"/>
        <v>1.0074000000000001</v>
      </c>
      <c r="V25" s="52">
        <f t="shared" si="9"/>
        <v>19583.86</v>
      </c>
      <c r="W25" s="51">
        <f>SUMIFS(水表!$C:$C,水表!$B:$B,W$3,水表!$A:$A,$B25)</f>
        <v>1615</v>
      </c>
      <c r="X25" s="51">
        <f>SUMIFS(水表!$C:$C,水表!$B:$B,X$3,水表!$A:$A,$B25)</f>
        <v>0</v>
      </c>
      <c r="Y25" s="51">
        <f>SUMIFS(水表!$C:$C,水表!$B:$B,Y$3,水表!$A:$A,$B25)</f>
        <v>908</v>
      </c>
      <c r="Z25" s="52">
        <f t="shared" si="17"/>
        <v>71</v>
      </c>
      <c r="AA25" s="51">
        <f t="shared" si="11"/>
        <v>9.3000000000000007</v>
      </c>
      <c r="AB25" s="52">
        <f t="shared" si="12"/>
        <v>660.3</v>
      </c>
    </row>
    <row r="26" spans="1:28" ht="18.75" customHeight="1" x14ac:dyDescent="0.2">
      <c r="A26" s="43">
        <f t="shared" ref="A26" si="35">DATE(YEAR(A25), MONTH(A25) + 1, DAY(A25))</f>
        <v>45505</v>
      </c>
      <c r="B26" s="43">
        <f t="shared" si="3"/>
        <v>45536</v>
      </c>
      <c r="C26" s="51">
        <f>SUMIFS(电表!$C:$C,电表!$B:$B,C$3,电表!$A:$A,$B26)</f>
        <v>1353</v>
      </c>
      <c r="D26" s="51">
        <f>SUMIFS(电表!$C:$C,电表!$B:$B,D$3,电表!$A:$A,$B26)</f>
        <v>3349</v>
      </c>
      <c r="E26" s="51">
        <f>SUMIFS(电表!$C:$C,电表!$B:$B,E$3,电表!$A:$A,$B26)</f>
        <v>256</v>
      </c>
      <c r="F26" s="51">
        <f>SUMIFS(电表!$C:$C,电表!$B:$B,F$3,电表!$A:$A,$B26)</f>
        <v>-100</v>
      </c>
      <c r="G26" s="51">
        <f>SUMIFS(电表!$C:$C,电表!$B:$B,G$3,电表!$A:$A,$B26)</f>
        <v>-86255.25</v>
      </c>
      <c r="H26" s="52">
        <f t="shared" si="28"/>
        <v>17116</v>
      </c>
      <c r="I26" s="51">
        <f>SUMIFS(电表!$D:$D,电表!$B:$B,C$3,电表!$A:$A,$B26)</f>
        <v>0.95760000000000001</v>
      </c>
      <c r="J26" s="52">
        <f t="shared" si="5"/>
        <v>16390.28</v>
      </c>
      <c r="K26" s="51">
        <f>SUMIFS(水表!$C:$C,水表!$B:$B,K$3,水表!$A:$A,$B26)</f>
        <v>5697</v>
      </c>
      <c r="L26" s="51">
        <f>SUMIFS(水表!$C:$C,水表!$B:$B,L$3,水表!$A:$A,$B26)</f>
        <v>0</v>
      </c>
      <c r="M26" s="51">
        <f>SUMIFS(水表!$C:$C,水表!$B:$B,M$3,水表!$A:$A,$B26)</f>
        <v>0</v>
      </c>
      <c r="N26" s="51">
        <f>SUMIFS(水表!$C:$C,水表!$B:$B,N$3,水表!$A:$A,$B26)</f>
        <v>-938</v>
      </c>
      <c r="O26" s="52">
        <f t="shared" si="16"/>
        <v>131</v>
      </c>
      <c r="P26" s="46">
        <f>SUMIFS(水表!$D:$D,水表!$B:$B,K$3,水表!$A:$A,B26)</f>
        <v>9.3000000000000007</v>
      </c>
      <c r="Q26" s="52">
        <f t="shared" si="7"/>
        <v>1218.3</v>
      </c>
      <c r="R26" s="51">
        <f>SUMIFS(电表!$C:$C,电表!$B:$B,R$3,电表!$A:$A,$B26)</f>
        <v>7393</v>
      </c>
      <c r="S26" s="51">
        <f>SUMIFS(电表!$C:$C,电表!$B:$B,S$3,电表!$A:$A,$B26)</f>
        <v>86255.25</v>
      </c>
      <c r="T26" s="52">
        <f t="shared" si="0"/>
        <v>15444</v>
      </c>
      <c r="U26" s="51">
        <f t="shared" si="8"/>
        <v>0.95760000000000001</v>
      </c>
      <c r="V26" s="52">
        <f t="shared" si="9"/>
        <v>14789.17</v>
      </c>
      <c r="W26" s="51">
        <f>SUMIFS(水表!$C:$C,水表!$B:$B,W$3,水表!$A:$A,$B26)</f>
        <v>1650</v>
      </c>
      <c r="X26" s="51">
        <f>SUMIFS(水表!$C:$C,水表!$B:$B,X$3,水表!$A:$A,$B26)</f>
        <v>0</v>
      </c>
      <c r="Y26" s="51">
        <f>SUMIFS(水表!$C:$C,水表!$B:$B,Y$3,水表!$A:$A,$B26)</f>
        <v>938</v>
      </c>
      <c r="Z26" s="52">
        <f t="shared" si="17"/>
        <v>65</v>
      </c>
      <c r="AA26" s="51">
        <f t="shared" si="11"/>
        <v>9.3000000000000007</v>
      </c>
      <c r="AB26" s="52">
        <f t="shared" si="12"/>
        <v>604.5</v>
      </c>
    </row>
    <row r="27" spans="1:28" ht="18.75" customHeight="1" x14ac:dyDescent="0.2">
      <c r="A27" s="43">
        <f t="shared" ref="A27" si="36">DATE(YEAR(A26), MONTH(A26) + 1, DAY(A26))</f>
        <v>45536</v>
      </c>
      <c r="B27" s="43">
        <f t="shared" si="3"/>
        <v>45566</v>
      </c>
      <c r="C27" s="51">
        <f>SUMIFS(电表!$C:$C,电表!$B:$B,C$3,电表!$A:$A,$B27)</f>
        <v>1377</v>
      </c>
      <c r="D27" s="51">
        <f>SUMIFS(电表!$C:$C,电表!$B:$B,D$3,电表!$A:$A,$B27)</f>
        <v>3433</v>
      </c>
      <c r="E27" s="51">
        <f>SUMIFS(电表!$C:$C,电表!$B:$B,E$3,电表!$A:$A,$B27)</f>
        <v>274</v>
      </c>
      <c r="F27" s="51">
        <f>SUMIFS(电表!$C:$C,电表!$B:$B,F$3,电表!$A:$A,$B27)</f>
        <v>-100</v>
      </c>
      <c r="G27" s="51">
        <f>SUMIFS(电表!$C:$C,电表!$B:$B,G$3,电表!$A:$A,$B27)</f>
        <v>-86255.25</v>
      </c>
      <c r="H27" s="52">
        <f t="shared" si="28"/>
        <v>13680</v>
      </c>
      <c r="I27" s="51">
        <f>SUMIFS(电表!$D:$D,电表!$B:$B,C$3,电表!$A:$A,$B27)</f>
        <v>0.9425</v>
      </c>
      <c r="J27" s="52">
        <f t="shared" si="5"/>
        <v>12893.4</v>
      </c>
      <c r="K27" s="51">
        <f>SUMIFS(水表!$C:$C,水表!$B:$B,K$3,水表!$A:$A,$B27)</f>
        <v>5766</v>
      </c>
      <c r="L27" s="51">
        <f>SUMIFS(水表!$C:$C,水表!$B:$B,L$3,水表!$A:$A,$B27)</f>
        <v>0</v>
      </c>
      <c r="M27" s="51">
        <f>SUMIFS(水表!$C:$C,水表!$B:$B,M$3,水表!$A:$A,$B27)</f>
        <v>0</v>
      </c>
      <c r="N27" s="51">
        <f>SUMIFS(水表!$C:$C,水表!$B:$B,N$3,水表!$A:$A,$B27)</f>
        <v>-938</v>
      </c>
      <c r="O27" s="52">
        <f t="shared" si="16"/>
        <v>69</v>
      </c>
      <c r="P27" s="46">
        <f>SUMIFS(水表!$D:$D,水表!$B:$B,K$3,水表!$A:$A,B27)</f>
        <v>9.3000000000000007</v>
      </c>
      <c r="Q27" s="52">
        <f t="shared" si="7"/>
        <v>641.70000000000005</v>
      </c>
      <c r="R27" s="51">
        <f>SUMIFS(电表!$C:$C,电表!$B:$B,R$3,电表!$A:$A,$B27)</f>
        <v>7511</v>
      </c>
      <c r="S27" s="51">
        <f>SUMIFS(电表!$C:$C,电表!$B:$B,S$3,电表!$A:$A,$B27)</f>
        <v>86255.25</v>
      </c>
      <c r="T27" s="52">
        <f t="shared" si="0"/>
        <v>9440</v>
      </c>
      <c r="U27" s="51">
        <f t="shared" si="8"/>
        <v>0.9425</v>
      </c>
      <c r="V27" s="52">
        <f t="shared" si="9"/>
        <v>8897.2000000000007</v>
      </c>
      <c r="W27" s="51">
        <f>SUMIFS(水表!$C:$C,水表!$B:$B,W$3,水表!$A:$A,$B27)</f>
        <v>1696</v>
      </c>
      <c r="X27" s="51">
        <f>SUMIFS(水表!$C:$C,水表!$B:$B,X$3,水表!$A:$A,$B27)</f>
        <v>0</v>
      </c>
      <c r="Y27" s="51">
        <f>SUMIFS(水表!$C:$C,水表!$B:$B,Y$3,水表!$A:$A,$B27)</f>
        <v>938</v>
      </c>
      <c r="Z27" s="52">
        <f t="shared" si="17"/>
        <v>46</v>
      </c>
      <c r="AA27" s="51">
        <f t="shared" si="11"/>
        <v>9.3000000000000007</v>
      </c>
      <c r="AB27" s="52">
        <f t="shared" si="12"/>
        <v>427.8</v>
      </c>
    </row>
    <row r="28" spans="1:28" ht="18.75" customHeight="1" x14ac:dyDescent="0.2">
      <c r="A28" s="43">
        <f t="shared" ref="A28" si="37">DATE(YEAR(A27), MONTH(A27) + 1, DAY(A27))</f>
        <v>45566</v>
      </c>
      <c r="B28" s="43">
        <f t="shared" si="3"/>
        <v>45597</v>
      </c>
      <c r="C28" s="51">
        <f>SUMIFS(电表!$C:$C,电表!$B:$B,C$3,电表!$A:$A,$B28)</f>
        <v>1406</v>
      </c>
      <c r="D28" s="51">
        <f>SUMIFS(电表!$C:$C,电表!$B:$B,D$3,电表!$A:$A,$B28)</f>
        <v>3516</v>
      </c>
      <c r="E28" s="51">
        <f>SUMIFS(电表!$C:$C,电表!$B:$B,E$3,电表!$A:$A,$B28)</f>
        <v>288</v>
      </c>
      <c r="F28" s="51">
        <f>SUMIFS(电表!$C:$C,电表!$B:$B,F$3,电表!$A:$A,$B28)</f>
        <v>-100</v>
      </c>
      <c r="G28" s="51">
        <f>SUMIFS(电表!$C:$C,电表!$B:$B,G$3,电表!$A:$A,$B28)</f>
        <v>-86255.25</v>
      </c>
      <c r="H28" s="52">
        <f t="shared" si="28"/>
        <v>14000</v>
      </c>
      <c r="I28" s="51">
        <f>SUMIFS(电表!$D:$D,电表!$B:$B,C$3,电表!$A:$A,$B28)</f>
        <v>0.94259999999999999</v>
      </c>
      <c r="J28" s="52">
        <f t="shared" si="5"/>
        <v>13196.4</v>
      </c>
      <c r="K28" s="51">
        <f>SUMIFS(水表!$C:$C,水表!$B:$B,K$3,水表!$A:$A,$B28)</f>
        <v>5900</v>
      </c>
      <c r="L28" s="51">
        <f>SUMIFS(水表!$C:$C,水表!$B:$B,L$3,水表!$A:$A,$B28)</f>
        <v>0</v>
      </c>
      <c r="M28" s="51">
        <f>SUMIFS(水表!$C:$C,水表!$B:$B,M$3,水表!$A:$A,$B28)</f>
        <v>0</v>
      </c>
      <c r="N28" s="51">
        <f>SUMIFS(水表!$C:$C,水表!$B:$B,N$3,水表!$A:$A,$B28)</f>
        <v>-968</v>
      </c>
      <c r="O28" s="52">
        <f t="shared" si="16"/>
        <v>104</v>
      </c>
      <c r="P28" s="46">
        <f>SUMIFS(水表!$D:$D,水表!$B:$B,K$3,水表!$A:$A,B28)</f>
        <v>9.3000000000000007</v>
      </c>
      <c r="Q28" s="52">
        <f t="shared" si="7"/>
        <v>967.2</v>
      </c>
      <c r="R28" s="51">
        <f>SUMIFS(电表!$C:$C,电表!$B:$B,R$3,电表!$A:$A,$B28)</f>
        <v>7615</v>
      </c>
      <c r="S28" s="51">
        <f>SUMIFS(电表!$C:$C,电表!$B:$B,S$3,电表!$A:$A,$B28)</f>
        <v>86255.25</v>
      </c>
      <c r="T28" s="52">
        <f t="shared" si="0"/>
        <v>8320</v>
      </c>
      <c r="U28" s="51">
        <f t="shared" si="8"/>
        <v>0.94259999999999999</v>
      </c>
      <c r="V28" s="52">
        <f t="shared" si="9"/>
        <v>7842.43</v>
      </c>
      <c r="W28" s="51">
        <f>SUMIFS(水表!$C:$C,水表!$B:$B,W$3,水表!$A:$A,$B28)</f>
        <v>1723</v>
      </c>
      <c r="X28" s="51">
        <f>SUMIFS(水表!$C:$C,水表!$B:$B,X$3,水表!$A:$A,$B28)</f>
        <v>0</v>
      </c>
      <c r="Y28" s="51">
        <f>SUMIFS(水表!$C:$C,水表!$B:$B,Y$3,水表!$A:$A,$B28)</f>
        <v>968</v>
      </c>
      <c r="Z28" s="52">
        <f t="shared" si="17"/>
        <v>57</v>
      </c>
      <c r="AA28" s="51">
        <f t="shared" si="11"/>
        <v>9.3000000000000007</v>
      </c>
      <c r="AB28" s="52">
        <f t="shared" si="12"/>
        <v>530.1</v>
      </c>
    </row>
    <row r="29" spans="1:28" ht="18.75" customHeight="1" x14ac:dyDescent="0.2">
      <c r="A29" s="43">
        <f t="shared" ref="A29" si="38">DATE(YEAR(A28), MONTH(A28) + 1, DAY(A28))</f>
        <v>45597</v>
      </c>
      <c r="B29" s="43">
        <f t="shared" si="3"/>
        <v>45627</v>
      </c>
      <c r="C29" s="51">
        <f>SUMIFS(电表!$C:$C,电表!$B:$B,C$3,电表!$A:$A,$B29)</f>
        <v>1442</v>
      </c>
      <c r="D29" s="51">
        <f>SUMIFS(电表!$C:$C,电表!$B:$B,D$3,电表!$A:$A,$B29)</f>
        <v>3633</v>
      </c>
      <c r="E29" s="51">
        <f>SUMIFS(电表!$C:$C,电表!$B:$B,E$3,电表!$A:$A,$B29)</f>
        <v>313</v>
      </c>
      <c r="F29" s="51">
        <f>SUMIFS(电表!$C:$C,电表!$B:$B,F$3,电表!$A:$A,$B29)</f>
        <v>-100</v>
      </c>
      <c r="G29" s="51">
        <f>SUMIFS(电表!$C:$C,电表!$B:$B,G$3,电表!$A:$A,$B29)</f>
        <v>-88457.25</v>
      </c>
      <c r="H29" s="52">
        <f t="shared" si="28"/>
        <v>17158</v>
      </c>
      <c r="I29" s="51">
        <f>SUMIFS(电表!$D:$D,电表!$B:$B,C$3,电表!$A:$A,$B29)</f>
        <v>0.90839999999999999</v>
      </c>
      <c r="J29" s="52">
        <f t="shared" si="5"/>
        <v>15586.33</v>
      </c>
      <c r="K29" s="51">
        <f>SUMIFS(水表!$C:$C,水表!$B:$B,K$3,水表!$A:$A,$B29)</f>
        <v>6059</v>
      </c>
      <c r="L29" s="51">
        <f>SUMIFS(水表!$C:$C,水表!$B:$B,L$3,水表!$A:$A,$B29)</f>
        <v>0</v>
      </c>
      <c r="M29" s="51">
        <f>SUMIFS(水表!$C:$C,水表!$B:$B,M$3,水表!$A:$A,$B29)</f>
        <v>0</v>
      </c>
      <c r="N29" s="51">
        <f>SUMIFS(水表!$C:$C,水表!$B:$B,N$3,水表!$A:$A,$B29)</f>
        <v>-968</v>
      </c>
      <c r="O29" s="52">
        <f t="shared" si="16"/>
        <v>159</v>
      </c>
      <c r="P29" s="46">
        <f>SUMIFS(水表!$D:$D,水表!$B:$B,K$3,水表!$A:$A,B29)</f>
        <v>9.3000000000000007</v>
      </c>
      <c r="Q29" s="52">
        <f t="shared" si="7"/>
        <v>1478.7</v>
      </c>
      <c r="R29" s="51">
        <f>SUMIFS(电表!$C:$C,电表!$B:$B,R$3,电表!$A:$A,$B29)</f>
        <v>7756</v>
      </c>
      <c r="S29" s="51">
        <f>SUMIFS(电表!$C:$C,电表!$B:$B,S$3,电表!$A:$A,$B29)</f>
        <v>88457.25</v>
      </c>
      <c r="T29" s="52">
        <f t="shared" si="0"/>
        <v>13482</v>
      </c>
      <c r="U29" s="51">
        <f t="shared" si="8"/>
        <v>0.90839999999999999</v>
      </c>
      <c r="V29" s="52">
        <f t="shared" si="9"/>
        <v>12247.05</v>
      </c>
      <c r="W29" s="51">
        <f>SUMIFS(水表!$C:$C,水表!$B:$B,W$3,水表!$A:$A,$B29)</f>
        <v>1755</v>
      </c>
      <c r="X29" s="51">
        <f>SUMIFS(水表!$C:$C,水表!$B:$B,X$3,水表!$A:$A,$B29)</f>
        <v>0</v>
      </c>
      <c r="Y29" s="51">
        <f>SUMIFS(水表!$C:$C,水表!$B:$B,Y$3,水表!$A:$A,$B29)</f>
        <v>968</v>
      </c>
      <c r="Z29" s="52">
        <f t="shared" si="17"/>
        <v>32</v>
      </c>
      <c r="AA29" s="51">
        <f t="shared" si="11"/>
        <v>9.3000000000000007</v>
      </c>
      <c r="AB29" s="52">
        <f t="shared" si="12"/>
        <v>297.60000000000002</v>
      </c>
    </row>
    <row r="30" spans="1:28" ht="18.75" customHeight="1" x14ac:dyDescent="0.2">
      <c r="A30" s="43">
        <f t="shared" ref="A30" si="39">DATE(YEAR(A29), MONTH(A29) + 1, DAY(A29))</f>
        <v>45627</v>
      </c>
      <c r="B30" s="43">
        <f t="shared" si="3"/>
        <v>45658</v>
      </c>
      <c r="C30" s="51">
        <f>SUMIFS(电表!$C:$C,电表!$B:$B,C$3,电表!$A:$A,$B30)</f>
        <v>1509</v>
      </c>
      <c r="D30" s="51">
        <f>SUMIFS(电表!$C:$C,电表!$B:$B,D$3,电表!$A:$A,$B30)</f>
        <v>3836</v>
      </c>
      <c r="E30" s="51">
        <f>SUMIFS(电表!$C:$C,电表!$B:$B,E$3,电表!$A:$A,$B30)</f>
        <v>341</v>
      </c>
      <c r="F30" s="51">
        <f>SUMIFS(电表!$C:$C,电表!$B:$B,F$3,电表!$A:$A,$B30)</f>
        <v>-100</v>
      </c>
      <c r="G30" s="51">
        <f>SUMIFS(电表!$C:$C,电表!$B:$B,G$3,电表!$A:$A,$B30)</f>
        <v>-90499.25</v>
      </c>
      <c r="H30" s="52">
        <f t="shared" si="28"/>
        <v>31478</v>
      </c>
      <c r="I30" s="51">
        <f>SUMIFS(电表!$D:$D,电表!$B:$B,C$3,电表!$A:$A,$B30)</f>
        <v>0.97957970000000005</v>
      </c>
      <c r="J30" s="52">
        <f t="shared" si="5"/>
        <v>30835.21</v>
      </c>
      <c r="K30" s="51">
        <f>SUMIFS(水表!$C:$C,水表!$B:$B,K$3,水表!$A:$A,$B30)</f>
        <v>6307</v>
      </c>
      <c r="L30" s="51">
        <f>SUMIFS(水表!$C:$C,水表!$B:$B,L$3,水表!$A:$A,$B30)</f>
        <v>0</v>
      </c>
      <c r="M30" s="51">
        <f>SUMIFS(水表!$C:$C,水表!$B:$B,M$3,水表!$A:$A,$B30)</f>
        <v>0</v>
      </c>
      <c r="N30" s="51">
        <f>SUMIFS(水表!$C:$C,水表!$B:$B,N$3,水表!$A:$A,$B30)</f>
        <v>-998</v>
      </c>
      <c r="O30" s="52">
        <f t="shared" si="16"/>
        <v>218</v>
      </c>
      <c r="P30" s="46">
        <f>SUMIFS(水表!$D:$D,水表!$B:$B,K$3,水表!$A:$A,B30)</f>
        <v>9.3000000000000007</v>
      </c>
      <c r="Q30" s="52">
        <f t="shared" si="7"/>
        <v>2027.4</v>
      </c>
      <c r="R30" s="51">
        <f>SUMIFS(电表!$C:$C,电表!$B:$B,R$3,电表!$A:$A,$B30)</f>
        <v>7934</v>
      </c>
      <c r="S30" s="51">
        <f>SUMIFS(电表!$C:$C,电表!$B:$B,S$3,电表!$A:$A,$B30)</f>
        <v>90499.25</v>
      </c>
      <c r="T30" s="52">
        <f t="shared" si="0"/>
        <v>16282</v>
      </c>
      <c r="U30" s="51">
        <f t="shared" si="8"/>
        <v>0.97957970000000005</v>
      </c>
      <c r="V30" s="52">
        <f t="shared" si="9"/>
        <v>15949.52</v>
      </c>
      <c r="W30" s="51">
        <f>SUMIFS(水表!$C:$C,水表!$B:$B,W$3,水表!$A:$A,$B30)</f>
        <v>1789</v>
      </c>
      <c r="X30" s="51">
        <f>SUMIFS(水表!$C:$C,水表!$B:$B,X$3,水表!$A:$A,$B30)</f>
        <v>0</v>
      </c>
      <c r="Y30" s="51">
        <f>SUMIFS(水表!$C:$C,水表!$B:$B,Y$3,水表!$A:$A,$B30)</f>
        <v>998</v>
      </c>
      <c r="Z30" s="52">
        <f t="shared" si="17"/>
        <v>64</v>
      </c>
      <c r="AA30" s="51">
        <f t="shared" si="11"/>
        <v>9.3000000000000007</v>
      </c>
      <c r="AB30" s="52">
        <f t="shared" si="12"/>
        <v>595.20000000000005</v>
      </c>
    </row>
    <row r="31" spans="1:28" ht="18.75" customHeight="1" x14ac:dyDescent="0.2">
      <c r="A31" s="43">
        <f t="shared" ref="A31" si="40">DATE(YEAR(A30), MONTH(A30) + 1, DAY(A30))</f>
        <v>45658</v>
      </c>
      <c r="B31" s="43">
        <f t="shared" si="3"/>
        <v>45689</v>
      </c>
      <c r="C31" s="51">
        <f>SUMIFS(电表!$C:$C,电表!$B:$B,C$3,电表!$A:$A,$B31)</f>
        <v>1567</v>
      </c>
      <c r="D31" s="51">
        <f>SUMIFS(电表!$C:$C,电表!$B:$B,D$3,电表!$A:$A,$B31)</f>
        <v>3953</v>
      </c>
      <c r="E31" s="51">
        <f>SUMIFS(电表!$C:$C,电表!$B:$B,E$3,电表!$A:$A,$B31)</f>
        <v>361</v>
      </c>
      <c r="F31" s="51">
        <f>SUMIFS(电表!$C:$C,电表!$B:$B,F$3,电表!$A:$A,$B31)</f>
        <v>-100</v>
      </c>
      <c r="G31" s="51">
        <f>SUMIFS(电表!$C:$C,电表!$B:$B,G$3,电表!$A:$A,$B31)</f>
        <v>-90499.25</v>
      </c>
      <c r="H31" s="52">
        <f t="shared" si="28"/>
        <v>21800</v>
      </c>
      <c r="I31" s="51">
        <f>SUMIFS(电表!$D:$D,电表!$B:$B,C$3,电表!$A:$A,$B31)</f>
        <v>1.0510000100000001</v>
      </c>
      <c r="J31" s="52">
        <f t="shared" si="5"/>
        <v>22911.8</v>
      </c>
      <c r="K31" s="51">
        <f>SUMIFS(水表!$C:$C,水表!$B:$B,K$3,水表!$A:$A,$B31)</f>
        <v>6462</v>
      </c>
      <c r="L31" s="51">
        <f>SUMIFS(水表!$C:$C,水表!$B:$B,L$3,水表!$A:$A,$B31)</f>
        <v>0</v>
      </c>
      <c r="M31" s="51">
        <f>SUMIFS(水表!$C:$C,水表!$B:$B,M$3,水表!$A:$A,$B31)</f>
        <v>0</v>
      </c>
      <c r="N31" s="51">
        <f>SUMIFS(水表!$C:$C,水表!$B:$B,N$3,水表!$A:$A,$B31)</f>
        <v>-998</v>
      </c>
      <c r="O31" s="52">
        <f t="shared" si="16"/>
        <v>155</v>
      </c>
      <c r="P31" s="46">
        <f>SUMIFS(水表!$D:$D,水表!$B:$B,K$3,水表!$A:$A,B31)</f>
        <v>9.3000000000000007</v>
      </c>
      <c r="Q31" s="52">
        <f t="shared" si="7"/>
        <v>1441.5</v>
      </c>
      <c r="R31" s="51">
        <f>SUMIFS(电表!$C:$C,电表!$B:$B,R$3,电表!$A:$A,$B31)</f>
        <v>8076</v>
      </c>
      <c r="S31" s="51">
        <f>SUMIFS(电表!$C:$C,电表!$B:$B,S$3,电表!$A:$A,$B31)</f>
        <v>90499.25</v>
      </c>
      <c r="T31" s="52">
        <f t="shared" si="0"/>
        <v>11360</v>
      </c>
      <c r="U31" s="51">
        <f t="shared" si="8"/>
        <v>1.0510000100000001</v>
      </c>
      <c r="V31" s="52">
        <f t="shared" si="9"/>
        <v>11939.36</v>
      </c>
      <c r="W31" s="51">
        <f>SUMIFS(水表!$C:$C,水表!$B:$B,W$3,水表!$A:$A,$B31)</f>
        <v>1813</v>
      </c>
      <c r="X31" s="51">
        <f>SUMIFS(水表!$C:$C,水表!$B:$B,X$3,水表!$A:$A,$B31)</f>
        <v>0</v>
      </c>
      <c r="Y31" s="51">
        <f>SUMIFS(水表!$C:$C,水表!$B:$B,Y$3,水表!$A:$A,$B31)</f>
        <v>998</v>
      </c>
      <c r="Z31" s="52">
        <f t="shared" si="17"/>
        <v>24</v>
      </c>
      <c r="AA31" s="51">
        <f t="shared" si="11"/>
        <v>9.3000000000000007</v>
      </c>
      <c r="AB31" s="52">
        <f t="shared" si="12"/>
        <v>223.2</v>
      </c>
    </row>
    <row r="32" spans="1:28" ht="18.75" customHeight="1" x14ac:dyDescent="0.2">
      <c r="A32" s="43">
        <f t="shared" ref="A32" si="41">DATE(YEAR(A31), MONTH(A31) + 1, DAY(A31))</f>
        <v>45689</v>
      </c>
      <c r="B32" s="43">
        <f t="shared" si="3"/>
        <v>45717</v>
      </c>
      <c r="C32" s="51">
        <f>SUMIFS(电表!$C:$C,电表!$B:$B,C$3,电表!$A:$A,$B32)</f>
        <v>1627</v>
      </c>
      <c r="D32" s="51">
        <f>SUMIFS(电表!$C:$C,电表!$B:$B,D$3,电表!$A:$A,$B32)</f>
        <v>4092</v>
      </c>
      <c r="E32" s="51">
        <f>SUMIFS(电表!$C:$C,电表!$B:$B,E$3,电表!$A:$A,$B32)</f>
        <v>403</v>
      </c>
      <c r="F32" s="51">
        <f>SUMIFS(电表!$C:$C,电表!$B:$B,F$3,电表!$A:$A,$B32)</f>
        <v>-100</v>
      </c>
      <c r="G32" s="51">
        <f>SUMIFS(电表!$C:$C,电表!$B:$B,G$3,电表!$A:$A,$B32)</f>
        <v>-93592.22</v>
      </c>
      <c r="H32" s="52">
        <f t="shared" si="28"/>
        <v>22467.03</v>
      </c>
      <c r="I32" s="51">
        <f>SUMIFS(电表!$D:$D,电表!$B:$B,C$3,电表!$A:$A,$B32)</f>
        <v>0.96994127068873404</v>
      </c>
      <c r="J32" s="52">
        <f t="shared" si="5"/>
        <v>21791.7</v>
      </c>
      <c r="K32" s="51">
        <f>SUMIFS(水表!$C:$C,水表!$B:$B,K$3,水表!$A:$A,$B32)</f>
        <v>6721</v>
      </c>
      <c r="L32" s="51">
        <f>SUMIFS(水表!$C:$C,水表!$B:$B,L$3,水表!$A:$A,$B32)</f>
        <v>0</v>
      </c>
      <c r="M32" s="51">
        <f>SUMIFS(水表!$C:$C,水表!$B:$B,M$3,水表!$A:$A,$B32)</f>
        <v>0</v>
      </c>
      <c r="N32" s="51">
        <f>SUMIFS(水表!$C:$C,水表!$B:$B,N$3,水表!$A:$A,$B32)</f>
        <v>-1028</v>
      </c>
      <c r="O32" s="52">
        <f t="shared" si="16"/>
        <v>229</v>
      </c>
      <c r="P32" s="46">
        <f>SUMIFS(水表!$D:$D,水表!$B:$B,K$3,水表!$A:$A,B32)</f>
        <v>9.3000000000000007</v>
      </c>
      <c r="Q32" s="52">
        <f t="shared" si="7"/>
        <v>2129.6999999999998</v>
      </c>
      <c r="R32" s="51">
        <f>SUMIFS(电表!$C:$C,电表!$B:$B,R$3,电表!$A:$A,$B32)</f>
        <v>8226</v>
      </c>
      <c r="S32" s="51">
        <f>SUMIFS(电表!$C:$C,电表!$B:$B,S$3,电表!$A:$A,$B32)</f>
        <v>93592.22</v>
      </c>
      <c r="T32" s="52">
        <f t="shared" si="0"/>
        <v>15092.970000000001</v>
      </c>
      <c r="U32" s="51">
        <f t="shared" si="8"/>
        <v>0.96994127068873404</v>
      </c>
      <c r="V32" s="52">
        <f t="shared" si="9"/>
        <v>14639.29</v>
      </c>
      <c r="W32" s="51">
        <f>SUMIFS(水表!$C:$C,水表!$B:$B,W$3,水表!$A:$A,$B32)</f>
        <v>1842</v>
      </c>
      <c r="X32" s="51">
        <f>SUMIFS(水表!$C:$C,水表!$B:$B,X$3,水表!$A:$A,$B32)</f>
        <v>0</v>
      </c>
      <c r="Y32" s="51">
        <f>SUMIFS(水表!$C:$C,水表!$B:$B,Y$3,水表!$A:$A,$B32)</f>
        <v>1028</v>
      </c>
      <c r="Z32" s="52">
        <f t="shared" si="17"/>
        <v>59</v>
      </c>
      <c r="AA32" s="51">
        <f t="shared" si="11"/>
        <v>9.3000000000000007</v>
      </c>
      <c r="AB32" s="52">
        <f t="shared" si="12"/>
        <v>548.70000000000005</v>
      </c>
    </row>
    <row r="33" spans="1:28" ht="18.75" customHeight="1" x14ac:dyDescent="0.2">
      <c r="A33" s="43">
        <f t="shared" ref="A33" si="42">DATE(YEAR(A32), MONTH(A32) + 1, DAY(A32))</f>
        <v>45717</v>
      </c>
      <c r="B33" s="43">
        <f t="shared" si="3"/>
        <v>45748</v>
      </c>
      <c r="C33" s="51">
        <f>SUMIFS(电表!$C:$C,电表!$B:$B,C$3,电表!$A:$A,$B33)</f>
        <v>1697</v>
      </c>
      <c r="D33" s="51">
        <f>SUMIFS(电表!$C:$C,电表!$B:$B,D$3,电表!$A:$A,$B33)</f>
        <v>4301</v>
      </c>
      <c r="E33" s="51">
        <f>SUMIFS(电表!$C:$C,电表!$B:$B,E$3,电表!$A:$A,$B33)</f>
        <v>425</v>
      </c>
      <c r="F33" s="51">
        <f>SUMIFS(电表!$C:$C,电表!$B:$B,F$3,电表!$A:$A,$B33)</f>
        <v>-100</v>
      </c>
      <c r="G33" s="51">
        <f>SUMIFS(电表!$C:$C,电表!$B:$B,G$3,电表!$A:$A,$B33)</f>
        <v>-98898.06</v>
      </c>
      <c r="H33" s="52">
        <f t="shared" si="28"/>
        <v>29054.160000000003</v>
      </c>
      <c r="I33" s="51">
        <f>SUMIFS(电表!$D:$D,电表!$B:$B,C$3,电表!$A:$A,$B33)</f>
        <v>0.942357</v>
      </c>
      <c r="J33" s="52">
        <f t="shared" si="5"/>
        <v>27379.39</v>
      </c>
      <c r="K33" s="51">
        <f>SUMIFS(水表!$C:$C,水表!$B:$B,K$3,水表!$A:$A,$B33)</f>
        <v>6944</v>
      </c>
      <c r="L33" s="51">
        <f>SUMIFS(水表!$C:$C,水表!$B:$B,L$3,水表!$A:$A,$B33)</f>
        <v>0</v>
      </c>
      <c r="M33" s="51">
        <f>SUMIFS(水表!$C:$C,水表!$B:$B,M$3,水表!$A:$A,$B33)</f>
        <v>0</v>
      </c>
      <c r="N33" s="51">
        <f>SUMIFS(水表!$C:$C,水表!$B:$B,N$3,水表!$A:$A,$B33)</f>
        <v>-1078</v>
      </c>
      <c r="O33" s="52">
        <f t="shared" si="16"/>
        <v>173</v>
      </c>
      <c r="P33" s="46">
        <f>SUMIFS(水表!$D:$D,水表!$B:$B,K$3,水表!$A:$A,B33)</f>
        <v>9.3000000000000007</v>
      </c>
      <c r="Q33" s="52">
        <f t="shared" si="7"/>
        <v>1608.9</v>
      </c>
      <c r="R33" s="51">
        <f>SUMIFS(电表!$C:$C,电表!$B:$B,R$3,电表!$A:$A,$B33)</f>
        <v>8366</v>
      </c>
      <c r="S33" s="51">
        <f>SUMIFS(电表!$C:$C,电表!$B:$B,S$3,电表!$A:$A,$B33)</f>
        <v>98898.06</v>
      </c>
      <c r="T33" s="52">
        <f t="shared" si="0"/>
        <v>16505.839999999997</v>
      </c>
      <c r="U33" s="51">
        <f t="shared" si="8"/>
        <v>0.942357</v>
      </c>
      <c r="V33" s="52">
        <f t="shared" si="9"/>
        <v>15554.39</v>
      </c>
      <c r="W33" s="51">
        <f>SUMIFS(水表!$C:$C,水表!$B:$B,W$3,水表!$A:$A,$B33)</f>
        <v>1888</v>
      </c>
      <c r="X33" s="51">
        <f>SUMIFS(水表!$C:$C,水表!$B:$B,X$3,水表!$A:$A,$B33)</f>
        <v>0</v>
      </c>
      <c r="Y33" s="51">
        <f>SUMIFS(水表!$C:$C,水表!$B:$B,Y$3,水表!$A:$A,$B33)</f>
        <v>1078</v>
      </c>
      <c r="Z33" s="52">
        <f t="shared" si="17"/>
        <v>96</v>
      </c>
      <c r="AA33" s="51">
        <f t="shared" si="11"/>
        <v>9.3000000000000007</v>
      </c>
      <c r="AB33" s="52">
        <f t="shared" si="12"/>
        <v>892.8</v>
      </c>
    </row>
    <row r="34" spans="1:28" ht="18.75" customHeight="1" x14ac:dyDescent="0.2">
      <c r="A34" s="43">
        <f t="shared" ref="A34" si="43">DATE(YEAR(A33), MONTH(A33) + 1, DAY(A33))</f>
        <v>45748</v>
      </c>
      <c r="B34" s="43">
        <f t="shared" si="3"/>
        <v>45778</v>
      </c>
      <c r="C34" s="51">
        <f>SUMIFS(电表!$C:$C,电表!$B:$B,C$3,电表!$A:$A,$B34)</f>
        <v>1751</v>
      </c>
      <c r="D34" s="51">
        <f>SUMIFS(电表!$C:$C,电表!$B:$B,D$3,电表!$A:$A,$B34)</f>
        <v>4451</v>
      </c>
      <c r="E34" s="51">
        <f>SUMIFS(电表!$C:$C,电表!$B:$B,E$3,电表!$A:$A,$B34)</f>
        <v>437</v>
      </c>
      <c r="F34" s="51">
        <f>SUMIFS(电表!$C:$C,电表!$B:$B,F$3,电表!$A:$A,$B34)</f>
        <v>-100</v>
      </c>
      <c r="G34" s="51">
        <f>SUMIFS(电表!$C:$C,电表!$B:$B,G$3,电表!$A:$A,$B34)</f>
        <v>-103117.06</v>
      </c>
      <c r="H34" s="52">
        <f t="shared" si="28"/>
        <v>20741</v>
      </c>
      <c r="I34" s="51">
        <f>SUMIFS(电表!$D:$D,电表!$B:$B,C$3,电表!$A:$A,$B34)</f>
        <v>0.94815170000000004</v>
      </c>
      <c r="J34" s="52">
        <f t="shared" si="5"/>
        <v>19665.61</v>
      </c>
      <c r="K34" s="51">
        <f>SUMIFS(水表!$C:$C,水表!$B:$B,K$3,水表!$A:$A,$B34)</f>
        <v>7088</v>
      </c>
      <c r="L34" s="51">
        <f>SUMIFS(水表!$C:$C,水表!$B:$B,L$3,水表!$A:$A,$B34)</f>
        <v>0</v>
      </c>
      <c r="M34" s="51">
        <f>SUMIFS(水表!$C:$C,水表!$B:$B,M$3,水表!$A:$A,$B34)</f>
        <v>0</v>
      </c>
      <c r="N34" s="51">
        <f>SUMIFS(水表!$C:$C,水表!$B:$B,N$3,水表!$A:$A,$B34)</f>
        <v>-1131.76</v>
      </c>
      <c r="O34" s="52">
        <f t="shared" si="16"/>
        <v>90.239999999999782</v>
      </c>
      <c r="P34" s="46">
        <f>SUMIFS(水表!$D:$D,水表!$B:$B,K$3,水表!$A:$A,B34)</f>
        <v>9.3000000000000007</v>
      </c>
      <c r="Q34" s="52">
        <f t="shared" si="7"/>
        <v>839.23</v>
      </c>
      <c r="R34" s="51">
        <f>SUMIFS(电表!$C:$C,电表!$B:$B,R$3,电表!$A:$A,$B34)</f>
        <v>8486</v>
      </c>
      <c r="S34" s="51">
        <f>SUMIFS(电表!$C:$C,电表!$B:$B,S$3,电表!$A:$A,$B34)</f>
        <v>103117.06</v>
      </c>
      <c r="T34" s="52">
        <f t="shared" si="0"/>
        <v>13819</v>
      </c>
      <c r="U34" s="51">
        <f t="shared" si="8"/>
        <v>0.94815170000000004</v>
      </c>
      <c r="V34" s="52">
        <f t="shared" si="9"/>
        <v>13102.51</v>
      </c>
      <c r="W34" s="51">
        <f>SUMIFS(水表!$C:$C,水表!$B:$B,W$3,水表!$A:$A,$B34)</f>
        <v>1897</v>
      </c>
      <c r="X34" s="51">
        <f>SUMIFS(水表!$C:$C,水表!$B:$B,X$3,水表!$A:$A,$B34)</f>
        <v>0</v>
      </c>
      <c r="Y34" s="51">
        <f>SUMIFS(水表!$C:$C,水表!$B:$B,Y$3,水表!$A:$A,$B34)</f>
        <v>1131.76</v>
      </c>
      <c r="Z34" s="52">
        <f t="shared" si="17"/>
        <v>62.760000000000218</v>
      </c>
      <c r="AA34" s="51">
        <f t="shared" si="11"/>
        <v>9.3000000000000007</v>
      </c>
      <c r="AB34" s="52">
        <f t="shared" si="12"/>
        <v>583.66999999999996</v>
      </c>
    </row>
    <row r="35" spans="1:28" ht="18.75" customHeight="1" x14ac:dyDescent="0.2">
      <c r="A35" s="43">
        <f t="shared" ref="A35" si="44">DATE(YEAR(A34), MONTH(A34) + 1, DAY(A34))</f>
        <v>45778</v>
      </c>
      <c r="B35" s="43">
        <f t="shared" si="3"/>
        <v>45809</v>
      </c>
      <c r="C35" s="51">
        <f>SUMIFS(电表!$C:$C,电表!$B:$B,C$3,电表!$A:$A,$B35)</f>
        <v>1791</v>
      </c>
      <c r="D35" s="51">
        <f>SUMIFS(电表!$C:$C,电表!$B:$B,D$3,电表!$A:$A,$B35)</f>
        <v>4544</v>
      </c>
      <c r="E35" s="51">
        <f>SUMIFS(电表!$C:$C,电表!$B:$B,E$3,电表!$A:$A,$B35)</f>
        <v>448</v>
      </c>
      <c r="F35" s="51">
        <f>SUMIFS(电表!$C:$C,电表!$B:$B,F$3,电表!$A:$A,$B35)</f>
        <v>-100</v>
      </c>
      <c r="G35" s="51">
        <f>SUMIFS(电表!$C:$C,电表!$B:$B,G$3,电表!$A:$A,$B35)</f>
        <v>-105098.36</v>
      </c>
      <c r="H35" s="52">
        <f t="shared" si="28"/>
        <v>14418.699999999997</v>
      </c>
      <c r="I35" s="51">
        <f>SUMIFS(电表!$D:$D,电表!$B:$B,C$3,电表!$A:$A,$B35)</f>
        <v>1.0094391</v>
      </c>
      <c r="J35" s="52">
        <f t="shared" si="5"/>
        <v>14554.8</v>
      </c>
      <c r="K35" s="51">
        <f>SUMIFS(水表!$C:$C,水表!$B:$B,K$3,水表!$A:$A,$B35)</f>
        <v>7178</v>
      </c>
      <c r="L35" s="51">
        <f>SUMIFS(水表!$C:$C,水表!$B:$B,L$3,水表!$A:$A,$B35)</f>
        <v>0</v>
      </c>
      <c r="M35" s="51">
        <f>SUMIFS(水表!$C:$C,水表!$B:$B,M$3,水表!$A:$A,$B35)</f>
        <v>0</v>
      </c>
      <c r="N35" s="51">
        <f>SUMIFS(水表!$C:$C,水表!$B:$B,N$3,水表!$A:$A,$B35)</f>
        <v>-1153.26</v>
      </c>
      <c r="O35" s="52">
        <f t="shared" si="16"/>
        <v>68.5</v>
      </c>
      <c r="P35" s="46">
        <f>SUMIFS(水表!$D:$D,水表!$B:$B,K$3,水表!$A:$A,B35)</f>
        <v>9.3000000000000007</v>
      </c>
      <c r="Q35" s="52">
        <f t="shared" si="7"/>
        <v>637.04999999999995</v>
      </c>
      <c r="R35" s="51">
        <f>SUMIFS(电表!$C:$C,电表!$B:$B,R$3,电表!$A:$A,$B35)</f>
        <v>8610</v>
      </c>
      <c r="S35" s="51">
        <f>SUMIFS(电表!$C:$C,电表!$B:$B,S$3,电表!$A:$A,$B35)</f>
        <v>105098.36</v>
      </c>
      <c r="T35" s="52">
        <f t="shared" si="0"/>
        <v>11901.300000000003</v>
      </c>
      <c r="U35" s="51">
        <f t="shared" si="8"/>
        <v>1.0094391</v>
      </c>
      <c r="V35" s="52">
        <f t="shared" si="9"/>
        <v>12013.64</v>
      </c>
      <c r="W35" s="51">
        <f>SUMIFS(水表!$C:$C,水表!$B:$B,W$3,水表!$A:$A,$B35)</f>
        <v>1908</v>
      </c>
      <c r="X35" s="51">
        <f>SUMIFS(水表!$C:$C,水表!$B:$B,X$3,水表!$A:$A,$B35)</f>
        <v>0</v>
      </c>
      <c r="Y35" s="51">
        <f>SUMIFS(水表!$C:$C,水表!$B:$B,Y$3,水表!$A:$A,$B35)</f>
        <v>1153.26</v>
      </c>
      <c r="Z35" s="52">
        <f t="shared" si="17"/>
        <v>32.5</v>
      </c>
      <c r="AA35" s="51">
        <f t="shared" si="11"/>
        <v>9.3000000000000007</v>
      </c>
      <c r="AB35" s="52">
        <f t="shared" si="12"/>
        <v>302.25</v>
      </c>
    </row>
    <row r="36" spans="1:28" ht="18.75" customHeight="1" x14ac:dyDescent="0.2">
      <c r="A36" s="43">
        <f t="shared" ref="A36" si="45">DATE(YEAR(A35), MONTH(A35) + 1, DAY(A35))</f>
        <v>45809</v>
      </c>
      <c r="B36" s="43">
        <f t="shared" si="3"/>
        <v>45839</v>
      </c>
      <c r="C36" s="51">
        <f>SUMIFS(电表!$C:$C,电表!$B:$B,C$3,电表!$A:$A,$B36)</f>
        <v>1845</v>
      </c>
      <c r="D36" s="51">
        <f>SUMIFS(电表!$C:$C,电表!$B:$B,D$3,电表!$A:$A,$B36)</f>
        <v>4682</v>
      </c>
      <c r="E36" s="51">
        <f>SUMIFS(电表!$C:$C,电表!$B:$B,E$3,电表!$A:$A,$B36)</f>
        <v>468</v>
      </c>
      <c r="F36" s="51">
        <f>SUMIFS(电表!$C:$C,电表!$B:$B,F$3,电表!$A:$A,$B36)</f>
        <v>-100</v>
      </c>
      <c r="G36" s="51">
        <f>SUMIFS(电表!$C:$C,电表!$B:$B,G$3,电表!$A:$A,$B36)</f>
        <v>-107352.19</v>
      </c>
      <c r="H36" s="52">
        <f t="shared" si="28"/>
        <v>21586.17</v>
      </c>
      <c r="I36" s="51">
        <f>SUMIFS(电表!$D:$D,电表!$B:$B,C$3,电表!$A:$A,$B36)</f>
        <v>0.88737770000000005</v>
      </c>
      <c r="J36" s="52">
        <f t="shared" si="5"/>
        <v>19155.09</v>
      </c>
      <c r="K36" s="51">
        <f>SUMIFS(水表!$C:$C,水表!$B:$B,K$3,水表!$A:$A,$B36)</f>
        <v>7328</v>
      </c>
      <c r="L36" s="51">
        <f>SUMIFS(水表!$C:$C,水表!$B:$B,L$3,水表!$A:$A,$B36)</f>
        <v>0</v>
      </c>
      <c r="M36" s="51">
        <f>SUMIFS(水表!$C:$C,水表!$B:$B,M$3,水表!$A:$A,$B36)</f>
        <v>0</v>
      </c>
      <c r="N36" s="51">
        <f>SUMIFS(水表!$C:$C,水表!$B:$B,N$3,水表!$A:$A,$B36)</f>
        <v>-1196.32</v>
      </c>
      <c r="O36" s="52">
        <f t="shared" si="16"/>
        <v>106.94000000000051</v>
      </c>
      <c r="P36" s="46">
        <f>SUMIFS(水表!$D:$D,水表!$B:$B,K$3,水表!$A:$A,B36)</f>
        <v>9.3000000000000007</v>
      </c>
      <c r="Q36" s="52">
        <f t="shared" si="7"/>
        <v>994.54</v>
      </c>
      <c r="R36" s="51">
        <f>SUMIFS(电表!$C:$C,电表!$B:$B,R$3,电表!$A:$A,$B36)</f>
        <v>8768</v>
      </c>
      <c r="S36" s="51">
        <f>SUMIFS(电表!$C:$C,电表!$B:$B,S$3,电表!$A:$A,$B36)</f>
        <v>107352.19</v>
      </c>
      <c r="T36" s="52">
        <f t="shared" si="0"/>
        <v>14893.830000000002</v>
      </c>
      <c r="U36" s="51">
        <f t="shared" si="8"/>
        <v>0.88737770000000005</v>
      </c>
      <c r="V36" s="52">
        <f t="shared" si="9"/>
        <v>13216.45</v>
      </c>
      <c r="W36" s="51">
        <f>SUMIFS(水表!$C:$C,水表!$B:$B,W$3,水表!$A:$A,$B36)</f>
        <v>1912</v>
      </c>
      <c r="X36" s="51">
        <f>SUMIFS(水表!$C:$C,水表!$B:$B,X$3,水表!$A:$A,$B36)</f>
        <v>0</v>
      </c>
      <c r="Y36" s="51">
        <f>SUMIFS(水表!$C:$C,水表!$B:$B,Y$3,水表!$A:$A,$B36)</f>
        <v>1196.32</v>
      </c>
      <c r="Z36" s="52">
        <f t="shared" si="17"/>
        <v>47.059999999999491</v>
      </c>
      <c r="AA36" s="51">
        <f t="shared" si="11"/>
        <v>9.3000000000000007</v>
      </c>
      <c r="AB36" s="52">
        <f t="shared" si="12"/>
        <v>437.66</v>
      </c>
    </row>
    <row r="37" spans="1:28" ht="18.75" customHeight="1" x14ac:dyDescent="0.2">
      <c r="A37" s="43">
        <f t="shared" ref="A37" si="46">DATE(YEAR(A36), MONTH(A36) + 1, DAY(A36))</f>
        <v>45839</v>
      </c>
      <c r="B37" s="43">
        <f t="shared" si="3"/>
        <v>45870</v>
      </c>
      <c r="C37" s="51">
        <f>SUMIFS(电表!$C:$C,电表!$B:$B,C$3,电表!$A:$A,$B37)</f>
        <v>1895</v>
      </c>
      <c r="D37" s="51">
        <f>SUMIFS(电表!$C:$C,电表!$B:$B,D$3,电表!$A:$A,$B37)</f>
        <v>4812</v>
      </c>
      <c r="E37" s="51">
        <f>SUMIFS(电表!$C:$C,电表!$B:$B,E$3,电表!$A:$A,$B37)</f>
        <v>492</v>
      </c>
      <c r="F37" s="51">
        <f>SUMIFS(电表!$C:$C,电表!$B:$B,F$3,电表!$A:$A,$B37)</f>
        <v>-100</v>
      </c>
      <c r="G37" s="51">
        <f>SUMIFS(电表!$C:$C,电表!$B:$B,G$3,电表!$A:$A,$B37)</f>
        <v>-110968.17</v>
      </c>
      <c r="H37" s="52">
        <f t="shared" si="28"/>
        <v>18944.020000000004</v>
      </c>
      <c r="I37" s="51">
        <f>SUMIFS(电表!$D:$D,电表!$B:$B,C$3,电表!$A:$A,$B37)</f>
        <v>1.1062008999999999</v>
      </c>
      <c r="J37" s="52">
        <f t="shared" si="5"/>
        <v>20955.89</v>
      </c>
      <c r="K37" s="51">
        <f>SUMIFS(水表!$C:$C,水表!$B:$B,K$3,水表!$A:$A,$B37)</f>
        <v>7465</v>
      </c>
      <c r="L37" s="51">
        <f>SUMIFS(水表!$C:$C,水表!$B:$B,L$3,水表!$A:$A,$B37)</f>
        <v>0</v>
      </c>
      <c r="M37" s="51">
        <f>SUMIFS(水表!$C:$C,水表!$B:$B,M$3,水表!$A:$A,$B37)</f>
        <v>0</v>
      </c>
      <c r="N37" s="51">
        <f>SUMIFS(水表!$C:$C,水表!$B:$B,N$3,水表!$A:$A,$B37)</f>
        <v>-1239.33</v>
      </c>
      <c r="O37" s="52">
        <f t="shared" si="16"/>
        <v>93.989999999999782</v>
      </c>
      <c r="P37" s="46">
        <f>SUMIFS(水表!$D:$D,水表!$B:$B,K$3,水表!$A:$A,B37)</f>
        <v>9.3000000000000007</v>
      </c>
      <c r="Q37" s="52">
        <f t="shared" si="7"/>
        <v>874.11</v>
      </c>
      <c r="R37" s="51">
        <f>SUMIFS(电表!$C:$C,电表!$B:$B,R$3,电表!$A:$A,$B37)</f>
        <v>8943</v>
      </c>
      <c r="S37" s="51">
        <f>SUMIFS(电表!$C:$C,电表!$B:$B,S$3,电表!$A:$A,$B37)</f>
        <v>110968.17</v>
      </c>
      <c r="T37" s="52">
        <f t="shared" si="0"/>
        <v>17615.979999999996</v>
      </c>
      <c r="U37" s="51">
        <f t="shared" si="8"/>
        <v>1.1062008999999999</v>
      </c>
      <c r="V37" s="52">
        <f t="shared" si="9"/>
        <v>19486.810000000001</v>
      </c>
      <c r="W37" s="51">
        <f>SUMIFS(水表!$C:$C,水表!$B:$B,W$3,水表!$A:$A,$B37)</f>
        <v>1913</v>
      </c>
      <c r="X37" s="51">
        <f>SUMIFS(水表!$C:$C,水表!$B:$B,X$3,水表!$A:$A,$B37)</f>
        <v>0</v>
      </c>
      <c r="Y37" s="51">
        <f>SUMIFS(水表!$C:$C,水表!$B:$B,Y$3,水表!$A:$A,$B37)</f>
        <v>1239.33</v>
      </c>
      <c r="Z37" s="52">
        <f t="shared" si="17"/>
        <v>44.010000000000218</v>
      </c>
      <c r="AA37" s="51">
        <f t="shared" si="11"/>
        <v>9.3000000000000007</v>
      </c>
      <c r="AB37" s="52">
        <f t="shared" si="12"/>
        <v>409.29</v>
      </c>
    </row>
    <row r="38" spans="1:28" ht="18.75" customHeight="1" x14ac:dyDescent="0.2">
      <c r="A38" s="43">
        <f t="shared" ref="A38" si="47">DATE(YEAR(A37), MONTH(A37) + 1, DAY(A37))</f>
        <v>45870</v>
      </c>
      <c r="B38" s="43">
        <f t="shared" si="3"/>
        <v>45901</v>
      </c>
      <c r="C38" s="51">
        <f>SUMIFS(电表!$C:$C,电表!$B:$B,C$3,电表!$A:$A,$B38)</f>
        <v>1966</v>
      </c>
      <c r="D38" s="51">
        <f>SUMIFS(电表!$C:$C,电表!$B:$B,D$3,电表!$A:$A,$B38)</f>
        <v>5006</v>
      </c>
      <c r="E38" s="51">
        <f>SUMIFS(电表!$C:$C,电表!$B:$B,E$3,电表!$A:$A,$B38)</f>
        <v>528</v>
      </c>
      <c r="F38" s="51">
        <f>SUMIFS(电表!$C:$C,电表!$B:$B,F$3,电表!$A:$A,$B38)</f>
        <v>-100</v>
      </c>
      <c r="G38" s="51">
        <f>SUMIFS(电表!$C:$C,电表!$B:$B,G$3,电表!$A:$A,$B38)</f>
        <v>-116061.67</v>
      </c>
      <c r="H38" s="52">
        <f t="shared" si="28"/>
        <v>28146.5</v>
      </c>
      <c r="I38" s="51">
        <f>SUMIFS(电表!$D:$D,电表!$B:$B,C$3,电表!$A:$A,$B38)</f>
        <v>0.98164359999999995</v>
      </c>
      <c r="J38" s="52">
        <f t="shared" si="5"/>
        <v>27629.83</v>
      </c>
      <c r="K38" s="51">
        <f>SUMIFS(水表!$C:$C,水表!$B:$B,K$3,水表!$A:$A,$B38)</f>
        <v>7697</v>
      </c>
      <c r="L38" s="51">
        <f>SUMIFS(水表!$C:$C,水表!$B:$B,L$3,水表!$A:$A,$B38)</f>
        <v>2</v>
      </c>
      <c r="M38" s="51">
        <f>SUMIFS(水表!$C:$C,水表!$B:$B,M$3,水表!$A:$A,$B38)</f>
        <v>0</v>
      </c>
      <c r="N38" s="51">
        <f>SUMIFS(水表!$C:$C,水表!$B:$B,N$3,水表!$A:$A,$B38)</f>
        <v>-1299.33</v>
      </c>
      <c r="O38" s="52">
        <f t="shared" si="16"/>
        <v>174</v>
      </c>
      <c r="P38" s="46">
        <f>SUMIFS(水表!$D:$D,水表!$B:$B,K$3,水表!$A:$A,B38)</f>
        <v>9.3000000000000007</v>
      </c>
      <c r="Q38" s="52">
        <f t="shared" si="7"/>
        <v>1618.2</v>
      </c>
      <c r="R38" s="51">
        <f>SUMIFS(电表!$C:$C,电表!$B:$B,R$3,电表!$A:$A,$B38)</f>
        <v>9101</v>
      </c>
      <c r="S38" s="51">
        <f>SUMIFS(电表!$C:$C,电表!$B:$B,S$3,电表!$A:$A,$B38)</f>
        <v>116061.67</v>
      </c>
      <c r="T38" s="52">
        <f t="shared" si="0"/>
        <v>17733.5</v>
      </c>
      <c r="U38" s="51">
        <f t="shared" si="8"/>
        <v>0.98164359999999995</v>
      </c>
      <c r="V38" s="52">
        <f t="shared" si="9"/>
        <v>17407.98</v>
      </c>
      <c r="W38" s="51">
        <f>SUMIFS(水表!$C:$C,水表!$B:$B,W$3,水表!$A:$A,$B38)</f>
        <v>1915</v>
      </c>
      <c r="X38" s="51">
        <f>SUMIFS(水表!$C:$C,水表!$B:$B,X$3,水表!$A:$A,$B38)</f>
        <v>0</v>
      </c>
      <c r="Y38" s="51">
        <f>SUMIFS(水表!$C:$C,水表!$B:$B,Y$3,水表!$A:$A,$B38)</f>
        <v>1299.33</v>
      </c>
      <c r="Z38" s="52">
        <f t="shared" si="17"/>
        <v>62</v>
      </c>
      <c r="AA38" s="51">
        <f t="shared" si="11"/>
        <v>9.3000000000000007</v>
      </c>
      <c r="AB38" s="52">
        <f t="shared" si="12"/>
        <v>576.6</v>
      </c>
    </row>
    <row r="39" spans="1:28" ht="18.75" customHeight="1" x14ac:dyDescent="0.2">
      <c r="A39" s="43">
        <f t="shared" ref="A39" si="48">DATE(YEAR(A38), MONTH(A38) + 1, DAY(A38))</f>
        <v>45901</v>
      </c>
      <c r="B39" s="43">
        <f t="shared" si="3"/>
        <v>45931</v>
      </c>
      <c r="C39" s="51">
        <f>SUMIFS(电表!$C:$C,电表!$B:$B,C$3,电表!$A:$A,$B39)</f>
        <v>2034</v>
      </c>
      <c r="D39" s="51">
        <f>SUMIFS(电表!$C:$C,电表!$B:$B,D$3,电表!$A:$A,$B39)</f>
        <v>5179</v>
      </c>
      <c r="E39" s="51">
        <f>SUMIFS(电表!$C:$C,电表!$B:$B,E$3,电表!$A:$A,$B39)</f>
        <v>546</v>
      </c>
      <c r="F39" s="51">
        <f>SUMIFS(电表!$C:$C,电表!$B:$B,F$3,电表!$A:$A,$B39)</f>
        <v>-100</v>
      </c>
      <c r="G39" s="51">
        <f>SUMIFS(电表!$C:$C,电表!$B:$B,G$3,电表!$A:$A,$B39)</f>
        <v>-121145.27</v>
      </c>
      <c r="H39" s="52">
        <f t="shared" si="28"/>
        <v>24556.399999999994</v>
      </c>
      <c r="I39" s="51">
        <f>SUMIFS(电表!$D:$D,电表!$B:$B,C$3,电表!$A:$A,$B39)</f>
        <v>0.98355490000000001</v>
      </c>
      <c r="J39" s="52">
        <f t="shared" si="5"/>
        <v>24152.57</v>
      </c>
      <c r="K39" s="51">
        <f>SUMIFS(水表!$C:$C,水表!$B:$B,K$3,水表!$A:$A,$B39)</f>
        <v>7903</v>
      </c>
      <c r="L39" s="51">
        <f>SUMIFS(水表!$C:$C,水表!$B:$B,L$3,水表!$A:$A,$B39)</f>
        <v>6</v>
      </c>
      <c r="M39" s="51">
        <f>SUMIFS(水表!$C:$C,水表!$B:$B,M$3,水表!$A:$A,$B39)</f>
        <v>1</v>
      </c>
      <c r="N39" s="51">
        <f>SUMIFS(水表!$C:$C,水表!$B:$B,N$3,水表!$A:$A,$B39)</f>
        <v>-1354.81</v>
      </c>
      <c r="O39" s="52">
        <f t="shared" si="16"/>
        <v>155.52000000000044</v>
      </c>
      <c r="P39" s="46">
        <f>SUMIFS(水表!$D:$D,水表!$B:$B,K$3,水表!$A:$A,B39)</f>
        <v>9.0112810000000003</v>
      </c>
      <c r="Q39" s="52">
        <f t="shared" si="7"/>
        <v>1401.43</v>
      </c>
      <c r="R39" s="51">
        <f>SUMIFS(电表!$C:$C,电表!$B:$B,R$3,电表!$A:$A,$B39)</f>
        <v>9243</v>
      </c>
      <c r="S39" s="51">
        <f>SUMIFS(电表!$C:$C,电表!$B:$B,S$3,电表!$A:$A,$B39)</f>
        <v>121145.27</v>
      </c>
      <c r="T39" s="52">
        <f t="shared" si="0"/>
        <v>16443.600000000006</v>
      </c>
      <c r="U39" s="51">
        <f t="shared" si="8"/>
        <v>0.98355490000000001</v>
      </c>
      <c r="V39" s="52">
        <f t="shared" si="9"/>
        <v>16173.18</v>
      </c>
      <c r="W39" s="51">
        <f>SUMIFS(水表!$C:$C,水表!$B:$B,W$3,水表!$A:$A,$B39)</f>
        <v>1917</v>
      </c>
      <c r="X39" s="51">
        <f>SUMIFS(水表!$C:$C,水表!$B:$B,X$3,水表!$A:$A,$B39)</f>
        <v>0</v>
      </c>
      <c r="Y39" s="51">
        <f>SUMIFS(水表!$C:$C,水表!$B:$B,Y$3,水表!$A:$A,$B39)</f>
        <v>1354.81</v>
      </c>
      <c r="Z39" s="52">
        <f t="shared" si="17"/>
        <v>57.480000000000018</v>
      </c>
      <c r="AA39" s="51">
        <f t="shared" si="11"/>
        <v>9.0112810000000003</v>
      </c>
      <c r="AB39" s="52">
        <f t="shared" si="12"/>
        <v>517.97</v>
      </c>
    </row>
    <row r="40" spans="1:28" ht="18.75" customHeight="1" x14ac:dyDescent="0.2">
      <c r="A40" s="43">
        <f t="shared" ref="A40" si="49">DATE(YEAR(A39), MONTH(A39) + 1, DAY(A39))</f>
        <v>45931</v>
      </c>
      <c r="B40" s="43">
        <f t="shared" si="3"/>
        <v>45962</v>
      </c>
      <c r="C40" s="51">
        <f>SUMIFS(电表!$C:$C,电表!$B:$B,C$3,电表!$A:$A,$B40)</f>
        <v>2089</v>
      </c>
      <c r="D40" s="51">
        <f>SUMIFS(电表!$C:$C,电表!$B:$B,D$3,电表!$A:$A,$B40)</f>
        <v>5353</v>
      </c>
      <c r="E40" s="51">
        <f>SUMIFS(电表!$C:$C,电表!$B:$B,E$3,电表!$A:$A,$B40)</f>
        <v>556</v>
      </c>
      <c r="F40" s="51">
        <f>SUMIFS(电表!$C:$C,电表!$B:$B,F$3,电表!$A:$A,$B40)</f>
        <v>-100</v>
      </c>
      <c r="G40" s="51">
        <f>SUMIFS(电表!$C:$C,电表!$B:$B,G$3,电表!$A:$A,$B40)</f>
        <v>-125772.87000000001</v>
      </c>
      <c r="H40" s="52">
        <f t="shared" si="28"/>
        <v>23252.399999999994</v>
      </c>
      <c r="I40" s="51">
        <f>SUMIFS(电表!$D:$D,电表!$B:$B,C$3,电表!$A:$A,$B40)</f>
        <v>1.0804676</v>
      </c>
      <c r="J40" s="52">
        <f t="shared" si="5"/>
        <v>25123.46</v>
      </c>
      <c r="K40" s="51">
        <f>SUMIFS(水表!$C:$C,水表!$B:$B,K$3,水表!$A:$A,$B40)</f>
        <v>8147</v>
      </c>
      <c r="L40" s="51">
        <f>SUMIFS(水表!$C:$C,水表!$B:$B,L$3,水表!$A:$A,$B40)</f>
        <v>10</v>
      </c>
      <c r="M40" s="51">
        <f>SUMIFS(水表!$C:$C,水表!$B:$B,M$3,水表!$A:$A,$B40)</f>
        <v>2</v>
      </c>
      <c r="N40" s="51">
        <f>SUMIFS(水表!$C:$C,水表!$B:$B,N$3,水表!$A:$A,$B40)</f>
        <v>-1403.09</v>
      </c>
      <c r="O40" s="52">
        <f t="shared" si="16"/>
        <v>200.71999999999935</v>
      </c>
      <c r="P40" s="46">
        <f>SUMIFS(水表!$D:$D,水表!$B:$B,K$3,水表!$A:$A,B40)</f>
        <v>8.2850970000000004</v>
      </c>
      <c r="Q40" s="52">
        <f t="shared" si="7"/>
        <v>1662.98</v>
      </c>
      <c r="R40" s="51">
        <f>SUMIFS(电表!$C:$C,电表!$B:$B,R$3,电表!$A:$A,$B40)</f>
        <v>9358</v>
      </c>
      <c r="S40" s="51">
        <f>SUMIFS(电表!$C:$C,电表!$B:$B,S$3,电表!$A:$A,$B40)</f>
        <v>125772.87000000001</v>
      </c>
      <c r="T40" s="52">
        <f t="shared" si="0"/>
        <v>13827.600000000006</v>
      </c>
      <c r="U40" s="51">
        <f t="shared" si="8"/>
        <v>1.0804676</v>
      </c>
      <c r="V40" s="52">
        <f t="shared" si="9"/>
        <v>14940.27</v>
      </c>
      <c r="W40" s="51">
        <f>SUMIFS(水表!$C:$C,水表!$B:$B,W$3,水表!$A:$A,$B40)</f>
        <v>1922</v>
      </c>
      <c r="X40" s="51">
        <f>SUMIFS(水表!$C:$C,水表!$B:$B,X$3,水表!$A:$A,$B40)</f>
        <v>0</v>
      </c>
      <c r="Y40" s="51">
        <f>SUMIFS(水表!$C:$C,水表!$B:$B,Y$3,水表!$A:$A,$B40)</f>
        <v>1403.09</v>
      </c>
      <c r="Z40" s="52">
        <f t="shared" si="17"/>
        <v>53.2800000000002</v>
      </c>
      <c r="AA40" s="51">
        <f t="shared" si="11"/>
        <v>8.2850970000000004</v>
      </c>
      <c r="AB40" s="52">
        <f t="shared" si="12"/>
        <v>441.43</v>
      </c>
    </row>
    <row r="41" spans="1:28" ht="18.75" customHeight="1" x14ac:dyDescent="0.2">
      <c r="A41" s="43">
        <f t="shared" ref="A41:A47" si="50">DATE(YEAR(A40), MONTH(A40) + 1, DAY(A40))</f>
        <v>45962</v>
      </c>
      <c r="B41" s="43">
        <f t="shared" si="3"/>
        <v>45992</v>
      </c>
      <c r="C41" s="51">
        <f>SUMIFS(电表!$C:$C,电表!$B:$B,C$3,电表!$A:$A,$B41)</f>
        <v>2163</v>
      </c>
      <c r="D41" s="51">
        <f>SUMIFS(电表!$C:$C,电表!$B:$B,D$3,电表!$A:$A,$B41)</f>
        <v>5558</v>
      </c>
      <c r="E41" s="51">
        <f>SUMIFS(电表!$C:$C,电表!$B:$B,E$3,电表!$A:$A,$B41)</f>
        <v>563</v>
      </c>
      <c r="F41" s="51">
        <f>SUMIFS(电表!$C:$C,电表!$B:$B,F$3,电表!$A:$A,$B41)</f>
        <v>-100</v>
      </c>
      <c r="G41" s="51">
        <f>SUMIFS(电表!$C:$C,电表!$B:$B,G$3,电表!$A:$A,$B41)</f>
        <v>-130952.31000000001</v>
      </c>
      <c r="H41" s="52">
        <f t="shared" si="28"/>
        <v>28580.559999999998</v>
      </c>
      <c r="I41" s="51">
        <f>SUMIFS(电表!$D:$D,电表!$B:$B,C$3,电表!$A:$A,$B41)</f>
        <v>0.96535499999999996</v>
      </c>
      <c r="J41" s="52">
        <f t="shared" si="5"/>
        <v>27590.39</v>
      </c>
      <c r="K41" s="51">
        <f>SUMIFS(水表!$C:$C,水表!$B:$B,K$3,水表!$A:$A,$B41)</f>
        <v>8390</v>
      </c>
      <c r="L41" s="51">
        <f>SUMIFS(水表!$C:$C,水表!$B:$B,L$3,水表!$A:$A,$B41)</f>
        <v>12</v>
      </c>
      <c r="M41" s="51">
        <f>SUMIFS(水表!$C:$C,水表!$B:$B,M$3,水表!$A:$A,$B41)</f>
        <v>2</v>
      </c>
      <c r="N41" s="51">
        <f>SUMIFS(水表!$C:$C,水表!$B:$B,N$3,水表!$A:$A,$B41)</f>
        <v>-1459.07</v>
      </c>
      <c r="O41" s="52">
        <f t="shared" si="16"/>
        <v>189.02000000000044</v>
      </c>
      <c r="P41" s="46">
        <f>SUMIFS(水表!$D:$D,水表!$B:$B,K$3,水表!$A:$A,B41)</f>
        <v>8.9318969999999993</v>
      </c>
      <c r="Q41" s="52">
        <f t="shared" si="7"/>
        <v>1688.31</v>
      </c>
      <c r="R41" s="51">
        <f>SUMIFS(电表!$C:$C,电表!$B:$B,R$3,电表!$A:$A,$B41)</f>
        <v>9484</v>
      </c>
      <c r="S41" s="51">
        <f>SUMIFS(电表!$C:$C,电表!$B:$B,S$3,电表!$A:$A,$B41)</f>
        <v>130952.31000000001</v>
      </c>
      <c r="T41" s="52">
        <f t="shared" si="0"/>
        <v>15259.440000000002</v>
      </c>
      <c r="U41" s="51">
        <f t="shared" si="8"/>
        <v>0.96535499999999996</v>
      </c>
      <c r="V41" s="52">
        <f t="shared" si="9"/>
        <v>14730.78</v>
      </c>
      <c r="W41" s="51">
        <f>SUMIFS(水表!$C:$C,水表!$B:$B,W$3,水表!$A:$A,$B41)</f>
        <v>1924</v>
      </c>
      <c r="X41" s="51">
        <f>SUMIFS(水表!$C:$C,水表!$B:$B,X$3,水表!$A:$A,$B41)</f>
        <v>0</v>
      </c>
      <c r="Y41" s="51">
        <f>SUMIFS(水表!$C:$C,水表!$B:$B,Y$3,水表!$A:$A,$B41)</f>
        <v>1459.07</v>
      </c>
      <c r="Z41" s="52">
        <f t="shared" si="17"/>
        <v>57.979999999999563</v>
      </c>
      <c r="AA41" s="51">
        <f t="shared" si="11"/>
        <v>8.9318969999999993</v>
      </c>
      <c r="AB41" s="52">
        <f t="shared" si="12"/>
        <v>517.87</v>
      </c>
    </row>
    <row r="42" spans="1:28" ht="18.75" customHeight="1" x14ac:dyDescent="0.2">
      <c r="A42" s="43">
        <f t="shared" si="50"/>
        <v>45992</v>
      </c>
      <c r="B42" s="43">
        <f t="shared" si="3"/>
        <v>46023</v>
      </c>
      <c r="C42" s="51">
        <f>SUMIFS(电表!$C:$C,电表!$B:$B,C$3,电表!$A:$A,$B42)</f>
        <v>2245</v>
      </c>
      <c r="D42" s="51">
        <f>SUMIFS(电表!$C:$C,电表!$B:$B,D$3,电表!$A:$A,$B42)</f>
        <v>5749</v>
      </c>
      <c r="E42" s="51">
        <f>SUMIFS(电表!$C:$C,电表!$B:$B,E$3,电表!$A:$A,$B42)</f>
        <v>577</v>
      </c>
      <c r="F42" s="51">
        <f>SUMIFS(电表!$C:$C,电表!$B:$B,F$3,电表!$A:$A,$B42)</f>
        <v>-100</v>
      </c>
      <c r="G42" s="51">
        <f>SUMIFS(电表!$C:$C,电表!$B:$B,G$3,电表!$A:$A,$B42)</f>
        <v>-137671.62000000002</v>
      </c>
      <c r="H42" s="52">
        <f t="shared" ref="H42" si="51">IF(SUM(C42:E42)&lt;=0,0,(C42-C41)*C$4+(D42-D41)*D$4+(E42-E41)*E$4+(F42-F41)*F$4+(G42-G41)*G$4)</f>
        <v>26600.689999999988</v>
      </c>
      <c r="I42" s="51">
        <f>SUMIFS(电表!$D:$D,电表!$B:$B,C$3,电表!$A:$A,$B42)</f>
        <v>1.0417742000000001</v>
      </c>
      <c r="J42" s="52">
        <f t="shared" ref="J42" si="52">ROUND(H42*I42,2)</f>
        <v>27711.91</v>
      </c>
      <c r="K42" s="51">
        <f>SUMIFS(水表!$C:$C,水表!$B:$B,K$3,水表!$A:$A,$B42)</f>
        <v>8650</v>
      </c>
      <c r="L42" s="51">
        <f>SUMIFS(水表!$C:$C,水表!$B:$B,L$3,水表!$A:$A,$B42)</f>
        <v>12</v>
      </c>
      <c r="M42" s="51">
        <f>SUMIFS(水表!$C:$C,水表!$B:$B,M$3,水表!$A:$A,$B42)</f>
        <v>2</v>
      </c>
      <c r="N42" s="51">
        <f>SUMIFS(水表!$C:$C,水表!$B:$B,N$3,水表!$A:$A,$B42)</f>
        <v>-1495.73</v>
      </c>
      <c r="O42" s="52">
        <f t="shared" ref="O42" si="53">IF(SUM(K42:M42)&lt;=0,0,SUM(K42:N42)-SUM(K41:N41))</f>
        <v>223.34000000000015</v>
      </c>
      <c r="P42" s="46">
        <f>SUMIFS(水表!$D:$D,水表!$B:$B,K$3,水表!$A:$A,B42)</f>
        <v>8.1841729999999995</v>
      </c>
      <c r="Q42" s="52">
        <f t="shared" ref="Q42" si="54">ROUND(O42*P42,2)</f>
        <v>1827.85</v>
      </c>
      <c r="R42" s="51">
        <f>SUMIFS(电表!$C:$C,电表!$B:$B,R$3,电表!$A:$A,$B42)</f>
        <v>9618</v>
      </c>
      <c r="S42" s="51">
        <f>SUMIFS(电表!$C:$C,电表!$B:$B,S$3,电表!$A:$A,$B42)</f>
        <v>137671.62000000002</v>
      </c>
      <c r="T42" s="52">
        <f t="shared" ref="T42" si="55">IF(SUM(R42)&lt;=0,0,(R42-R41)*R$4+(S42-S41)*S$4)</f>
        <v>17439.310000000012</v>
      </c>
      <c r="U42" s="51">
        <f t="shared" ref="U42" si="56">+I42</f>
        <v>1.0417742000000001</v>
      </c>
      <c r="V42" s="52">
        <f t="shared" ref="V42" si="57">ROUND(T42*U42,2)</f>
        <v>18167.82</v>
      </c>
      <c r="W42" s="51">
        <f>SUMIFS(水表!$C:$C,水表!$B:$B,W$3,水表!$A:$A,$B42)</f>
        <v>1926</v>
      </c>
      <c r="X42" s="51">
        <f>SUMIFS(水表!$C:$C,水表!$B:$B,X$3,水表!$A:$A,$B42)</f>
        <v>0</v>
      </c>
      <c r="Y42" s="51">
        <f>SUMIFS(水表!$C:$C,水表!$B:$B,Y$3,水表!$A:$A,$B42)</f>
        <v>1495.73</v>
      </c>
      <c r="Z42" s="52">
        <f t="shared" ref="Z42" si="58">IF(SUM(W42:X42)&lt;=0,0,SUM(W42:Y42)-SUM(W41:Y41))</f>
        <v>38.660000000000309</v>
      </c>
      <c r="AA42" s="51">
        <f t="shared" ref="AA42" si="59">+P42</f>
        <v>8.1841729999999995</v>
      </c>
      <c r="AB42" s="52">
        <f t="shared" ref="AB42" si="60">ROUND(Z42*AA42,2)</f>
        <v>316.39999999999998</v>
      </c>
    </row>
    <row r="43" spans="1:28" ht="18.75" customHeight="1" x14ac:dyDescent="0.2">
      <c r="A43" s="43">
        <f t="shared" si="50"/>
        <v>46023</v>
      </c>
      <c r="B43" s="43">
        <f t="shared" si="3"/>
        <v>46054</v>
      </c>
      <c r="C43" s="51">
        <f>SUMIFS(电表!$C:$C,电表!$B:$B,C$3,电表!$A:$A,$B43)</f>
        <v>2335</v>
      </c>
      <c r="D43" s="51">
        <f>SUMIFS(电表!$C:$C,电表!$B:$B,D$3,电表!$A:$A,$B43)</f>
        <v>5940</v>
      </c>
      <c r="E43" s="51">
        <f>SUMIFS(电表!$C:$C,电表!$B:$B,E$3,电表!$A:$A,$B43)</f>
        <v>606</v>
      </c>
      <c r="F43" s="51">
        <f>SUMIFS(电表!$C:$C,电表!$B:$B,F$3,电表!$A:$A,$B43)</f>
        <v>-100</v>
      </c>
      <c r="G43" s="51">
        <f>SUMIFS(电表!$C:$C,电表!$B:$B,G$3,电表!$A:$A,$B43)</f>
        <v>-142523.72000000003</v>
      </c>
      <c r="H43" s="52">
        <f t="shared" ref="H43" si="61">IF(SUM(C43:E43)&lt;=0,0,(C43-C42)*C$4+(D43-D42)*D$4+(E43-E42)*E$4+(F43-F42)*F$4+(G43-G42)*G$4)</f>
        <v>30027.899999999994</v>
      </c>
      <c r="I43" s="51">
        <f>SUMIFS(电表!$D:$D,电表!$B:$B,C$3,电表!$A:$A,$B43)</f>
        <v>1.0304812000000001</v>
      </c>
      <c r="J43" s="52">
        <f t="shared" ref="J43" si="62">ROUND(H43*I43,2)</f>
        <v>30943.19</v>
      </c>
      <c r="K43" s="51">
        <f>SUMIFS(水表!$C:$C,水表!$B:$B,K$3,水表!$A:$A,$B43)</f>
        <v>8963</v>
      </c>
      <c r="L43" s="51">
        <f>SUMIFS(水表!$C:$C,水表!$B:$B,L$3,水表!$A:$A,$B43)</f>
        <v>12</v>
      </c>
      <c r="M43" s="51">
        <f>SUMIFS(水表!$C:$C,水表!$B:$B,M$3,水表!$A:$A,$B43)</f>
        <v>2</v>
      </c>
      <c r="N43" s="51">
        <f>SUMIFS(水表!$C:$C,水表!$B:$B,N$3,水表!$A:$A,$B43)</f>
        <v>-1597.73</v>
      </c>
      <c r="O43" s="52">
        <f t="shared" ref="O43" si="63">IF(SUM(K43:M43)&lt;=0,0,SUM(K43:N43)-SUM(K42:N42))</f>
        <v>211</v>
      </c>
      <c r="P43" s="46">
        <f>SUMIFS(水表!$D:$D,水表!$B:$B,K$3,水表!$A:$A,B43)</f>
        <v>7.8419119999999998</v>
      </c>
      <c r="Q43" s="52">
        <f t="shared" ref="Q43" si="64">ROUND(O43*P43,2)</f>
        <v>1654.64</v>
      </c>
      <c r="R43" s="51">
        <f>SUMIFS(电表!$C:$C,电表!$B:$B,R$3,电表!$A:$A,$B43)</f>
        <v>9807</v>
      </c>
      <c r="S43" s="51">
        <f>SUMIFS(电表!$C:$C,电表!$B:$B,S$3,电表!$A:$A,$B43)</f>
        <v>142523.72000000003</v>
      </c>
      <c r="T43" s="52">
        <f t="shared" ref="T43" si="65">IF(SUM(R43)&lt;=0,0,(R43-R42)*R$4+(S43-S42)*S$4)</f>
        <v>19972.100000000006</v>
      </c>
      <c r="U43" s="51">
        <f t="shared" ref="U43" si="66">+I43</f>
        <v>1.0304812000000001</v>
      </c>
      <c r="V43" s="52">
        <f t="shared" ref="V43" si="67">ROUND(T43*U43,2)</f>
        <v>20580.87</v>
      </c>
      <c r="W43" s="51">
        <f>SUMIFS(水表!$C:$C,水表!$B:$B,W$3,水表!$A:$A,$B43)</f>
        <v>1930</v>
      </c>
      <c r="X43" s="51">
        <f>SUMIFS(水表!$C:$C,水表!$B:$B,X$3,水表!$A:$A,$B43)</f>
        <v>0</v>
      </c>
      <c r="Y43" s="51">
        <f>SUMIFS(水表!$C:$C,水表!$B:$B,Y$3,水表!$A:$A,$B43)</f>
        <v>1597.73</v>
      </c>
      <c r="Z43" s="52">
        <f t="shared" ref="Z43" si="68">IF(SUM(W43:X43)&lt;=0,0,SUM(W43:Y43)-SUM(W42:Y42))</f>
        <v>106</v>
      </c>
      <c r="AA43" s="51">
        <f t="shared" ref="AA43" si="69">+P43</f>
        <v>7.8419119999999998</v>
      </c>
      <c r="AB43" s="52">
        <f t="shared" ref="AB43" si="70">ROUND(Z43*AA43,2)</f>
        <v>831.24</v>
      </c>
    </row>
    <row r="44" spans="1:28" ht="18.75" customHeight="1" x14ac:dyDescent="0.2">
      <c r="A44" s="43">
        <f t="shared" si="50"/>
        <v>46054</v>
      </c>
      <c r="B44" s="43">
        <f t="shared" si="3"/>
        <v>46082</v>
      </c>
      <c r="C44" s="51">
        <f>SUMIFS(电表!$C:$C,电表!$B:$B,C$3,电表!$A:$A,$B44)</f>
        <v>2417</v>
      </c>
      <c r="D44" s="51">
        <f>SUMIFS(电表!$C:$C,电表!$B:$B,D$3,电表!$A:$A,$B44)</f>
        <v>6133</v>
      </c>
      <c r="E44" s="51">
        <f>SUMIFS(电表!$C:$C,电表!$B:$B,E$3,电表!$A:$A,$B44)</f>
        <v>596</v>
      </c>
      <c r="F44" s="51">
        <f>SUMIFS(电表!$C:$C,电表!$B:$B,F$3,电表!$A:$A,$B44)</f>
        <v>-100</v>
      </c>
      <c r="G44" s="51">
        <f>SUMIFS(电表!$C:$C,电表!$B:$B,G$3,电表!$A:$A,$B44)</f>
        <v>-148524.72000000003</v>
      </c>
      <c r="H44" s="52">
        <f t="shared" ref="H44" si="71">IF(SUM(C44:E44)&lt;=0,0,(C44-C43)*C$4+(D44-D43)*D$4+(E44-E43)*E$4+(F44-F43)*F$4+(G44-G43)*G$4)</f>
        <v>26599</v>
      </c>
      <c r="I44" s="51">
        <f>SUMIFS(电表!$D:$D,电表!$B:$B,C$3,电表!$A:$A,$B44)</f>
        <v>1.1663891</v>
      </c>
      <c r="J44" s="52">
        <f t="shared" ref="J44" si="72">ROUND(H44*I44,2)</f>
        <v>31024.78</v>
      </c>
      <c r="K44" s="51">
        <f>SUMIFS(水表!$C:$C,水表!$B:$B,K$3,水表!$A:$A,$B44)</f>
        <v>9225</v>
      </c>
      <c r="L44" s="51">
        <f>SUMIFS(水表!$C:$C,水表!$B:$B,L$3,水表!$A:$A,$B44)</f>
        <v>12</v>
      </c>
      <c r="M44" s="51">
        <f>SUMIFS(水表!$C:$C,水表!$B:$B,M$3,水表!$A:$A,$B44)</f>
        <v>2</v>
      </c>
      <c r="N44" s="51">
        <f>SUMIFS(水表!$C:$C,水表!$B:$B,N$3,水表!$A:$A,$B44)</f>
        <v>-1681.83</v>
      </c>
      <c r="O44" s="52">
        <f t="shared" ref="O44" si="73">IF(SUM(K44:M44)&lt;=0,0,SUM(K44:N44)-SUM(K43:N43))</f>
        <v>177.89999999999964</v>
      </c>
      <c r="P44" s="46">
        <f>SUMIFS(水表!$D:$D,水表!$B:$B,K$3,水表!$A:$A,B44)</f>
        <v>10.704330000000001</v>
      </c>
      <c r="Q44" s="52">
        <f t="shared" ref="Q44" si="74">ROUND(O44*P44,2)</f>
        <v>1904.3</v>
      </c>
      <c r="R44" s="51">
        <f>SUMIFS(电表!$C:$C,电表!$B:$B,R$3,电表!$A:$A,$B44)</f>
        <v>9926</v>
      </c>
      <c r="S44" s="51">
        <f>SUMIFS(电表!$C:$C,电表!$B:$B,S$3,电表!$A:$A,$B44)</f>
        <v>148524.72000000003</v>
      </c>
      <c r="T44" s="52">
        <f t="shared" ref="T44" si="75">IF(SUM(R44)&lt;=0,0,(R44-R43)*R$4+(S44-S43)*S$4)</f>
        <v>15521</v>
      </c>
      <c r="U44" s="51">
        <f t="shared" ref="U44" si="76">+I44</f>
        <v>1.1663891</v>
      </c>
      <c r="V44" s="52">
        <f t="shared" ref="V44" si="77">ROUND(T44*U44,2)</f>
        <v>18103.53</v>
      </c>
      <c r="W44" s="51">
        <f>SUMIFS(水表!$C:$C,水表!$B:$B,W$3,水表!$A:$A,$B44)</f>
        <v>1939</v>
      </c>
      <c r="X44" s="51">
        <f>SUMIFS(水表!$C:$C,水表!$B:$B,X$3,水表!$A:$A,$B44)</f>
        <v>0</v>
      </c>
      <c r="Y44" s="51">
        <f>SUMIFS(水表!$C:$C,水表!$B:$B,Y$3,水表!$A:$A,$B44)</f>
        <v>1681.83</v>
      </c>
      <c r="Z44" s="52">
        <f t="shared" ref="Z44" si="78">IF(SUM(W44:X44)&lt;=0,0,SUM(W44:Y44)-SUM(W43:Y43))</f>
        <v>93.099999999999909</v>
      </c>
      <c r="AA44" s="51">
        <f t="shared" ref="AA44" si="79">+P44</f>
        <v>10.704330000000001</v>
      </c>
      <c r="AB44" s="52">
        <f t="shared" ref="AB44" si="80">ROUND(Z44*AA44,2)</f>
        <v>996.57</v>
      </c>
    </row>
    <row r="45" spans="1:28" ht="18.75" customHeight="1" x14ac:dyDescent="0.2">
      <c r="A45" s="43">
        <f t="shared" si="50"/>
        <v>46082</v>
      </c>
      <c r="B45" s="43">
        <f t="shared" si="3"/>
        <v>46113</v>
      </c>
      <c r="C45" s="51">
        <f>SUMIFS(电表!$C:$C,电表!$B:$B,C$3,电表!$A:$A,$B45)</f>
        <v>2505</v>
      </c>
      <c r="D45" s="51">
        <f>SUMIFS(电表!$C:$C,电表!$B:$B,D$3,电表!$A:$A,$B45)</f>
        <v>6376</v>
      </c>
      <c r="E45" s="51">
        <f>SUMIFS(电表!$C:$C,电表!$B:$B,E$3,电表!$A:$A,$B45)</f>
        <v>606</v>
      </c>
      <c r="F45" s="51">
        <f>SUMIFS(电表!$C:$C,电表!$B:$B,F$3,电表!$A:$A,$B45)</f>
        <v>-100</v>
      </c>
      <c r="G45" s="51">
        <f>SUMIFS(电表!$C:$C,电表!$B:$B,G$3,电表!$A:$A,$B45)</f>
        <v>-154460.04000000004</v>
      </c>
      <c r="H45" s="52">
        <f t="shared" ref="H45" si="81">IF(SUM(C45:E45)&lt;=0,0,(C45-C44)*C$4+(D45-D44)*D$4+(E45-E44)*E$4+(F45-F44)*F$4+(G45-G44)*G$4)</f>
        <v>34184.679999999993</v>
      </c>
      <c r="I45" s="51">
        <f>SUMIFS(电表!$D:$D,电表!$B:$B,C$3,电表!$A:$A,$B45)</f>
        <v>1.0108968</v>
      </c>
      <c r="J45" s="52">
        <f t="shared" ref="J45" si="82">ROUND(H45*I45,2)</f>
        <v>34557.18</v>
      </c>
      <c r="K45" s="51">
        <f>SUMIFS(水表!$C:$C,水表!$B:$B,K$3,水表!$A:$A,$B45)</f>
        <v>9576</v>
      </c>
      <c r="L45" s="51">
        <f>SUMIFS(水表!$C:$C,水表!$B:$B,L$3,水表!$A:$A,$B45)</f>
        <v>12</v>
      </c>
      <c r="M45" s="51">
        <f>SUMIFS(水表!$C:$C,水表!$B:$B,M$3,水表!$A:$A,$B45)</f>
        <v>2</v>
      </c>
      <c r="N45" s="51">
        <f>SUMIFS(水表!$C:$C,水表!$B:$B,N$3,水表!$A:$A,$B45)</f>
        <v>-1803.47</v>
      </c>
      <c r="O45" s="52">
        <f t="shared" ref="O45" si="83">IF(SUM(K45:M45)&lt;=0,0,SUM(K45:N45)-SUM(K44:N44))</f>
        <v>229.35999999999967</v>
      </c>
      <c r="P45" s="46">
        <f>SUMIFS(水表!$D:$D,水表!$B:$B,K$3,水表!$A:$A,B45)</f>
        <v>8.2209699000000001</v>
      </c>
      <c r="Q45" s="52">
        <f t="shared" ref="Q45" si="84">ROUND(O45*P45,2)</f>
        <v>1885.56</v>
      </c>
      <c r="R45" s="51">
        <f>SUMIFS(电表!$C:$C,电表!$B:$B,R$3,电表!$A:$A,$B45)</f>
        <v>10075</v>
      </c>
      <c r="S45" s="51">
        <f>SUMIFS(电表!$C:$C,电表!$B:$B,S$3,电表!$A:$A,$B45)</f>
        <v>154460.04000000004</v>
      </c>
      <c r="T45" s="52">
        <f t="shared" ref="T45" si="85">IF(SUM(R45)&lt;=0,0,(R45-R44)*R$4+(S45-S44)*S$4)</f>
        <v>17855.320000000007</v>
      </c>
      <c r="U45" s="51">
        <f t="shared" ref="U45" si="86">+I45</f>
        <v>1.0108968</v>
      </c>
      <c r="V45" s="52">
        <f t="shared" ref="V45" si="87">ROUND(T45*U45,2)</f>
        <v>18049.89</v>
      </c>
      <c r="W45" s="51">
        <f>SUMIFS(水表!$C:$C,水表!$B:$B,W$3,水表!$A:$A,$B45)</f>
        <v>1956</v>
      </c>
      <c r="X45" s="51">
        <f>SUMIFS(水表!$C:$C,水表!$B:$B,X$3,水表!$A:$A,$B45)</f>
        <v>0</v>
      </c>
      <c r="Y45" s="51">
        <f>SUMIFS(水表!$C:$C,水表!$B:$B,Y$3,水表!$A:$A,$B45)</f>
        <v>1803.47</v>
      </c>
      <c r="Z45" s="52">
        <f t="shared" ref="Z45" si="88">IF(SUM(W45:X45)&lt;=0,0,SUM(W45:Y45)-SUM(W44:Y44))</f>
        <v>138.64000000000033</v>
      </c>
      <c r="AA45" s="51">
        <f t="shared" ref="AA45" si="89">+P45</f>
        <v>8.2209699000000001</v>
      </c>
      <c r="AB45" s="52">
        <f t="shared" ref="AB45" si="90">ROUND(Z45*AA45,2)</f>
        <v>1139.76</v>
      </c>
    </row>
    <row r="46" spans="1:28" ht="18.75" customHeight="1" x14ac:dyDescent="0.2">
      <c r="A46" s="43">
        <f t="shared" si="50"/>
        <v>46113</v>
      </c>
      <c r="B46" s="43">
        <f t="shared" si="3"/>
        <v>46143</v>
      </c>
      <c r="C46" s="51">
        <f>SUMIFS(电表!$C:$C,电表!$B:$B,C$3,电表!$A:$A,$B46)</f>
        <v>2577</v>
      </c>
      <c r="D46" s="51">
        <f>SUMIFS(电表!$C:$C,电表!$B:$B,D$3,电表!$A:$A,$B46)</f>
        <v>6608</v>
      </c>
      <c r="E46" s="51">
        <f>SUMIFS(电表!$C:$C,电表!$B:$B,E$3,电表!$A:$A,$B46)</f>
        <v>612</v>
      </c>
      <c r="F46" s="51">
        <f>SUMIFS(电表!$C:$C,电表!$B:$B,F$3,电表!$A:$A,$B46)</f>
        <v>-100</v>
      </c>
      <c r="G46" s="51">
        <f>SUMIFS(电表!$C:$C,电表!$B:$B,G$3,电表!$A:$A,$B46)</f>
        <v>-160281.56000000003</v>
      </c>
      <c r="H46" s="52">
        <f t="shared" ref="H46" si="91">IF(SUM(C46:E46)&lt;=0,0,(C46-C45)*C$4+(D46-D45)*D$4+(E46-E45)*E$4+(F46-F45)*F$4+(G46-G45)*G$4)</f>
        <v>30898.48000000001</v>
      </c>
      <c r="I46" s="51">
        <f>SUMIFS(电表!$D:$D,电表!$B:$B,C$3,电表!$A:$A,$B46)</f>
        <v>1.0306587</v>
      </c>
      <c r="J46" s="52">
        <f t="shared" ref="J46" si="92">ROUND(H46*I46,2)</f>
        <v>31845.79</v>
      </c>
      <c r="K46" s="51">
        <f>SUMIFS(水表!$C:$C,水表!$B:$B,K$3,水表!$A:$A,$B46)</f>
        <v>9880</v>
      </c>
      <c r="L46" s="51">
        <f>SUMIFS(水表!$C:$C,水表!$B:$B,L$3,水表!$A:$A,$B46)</f>
        <v>12</v>
      </c>
      <c r="M46" s="51">
        <f>SUMIFS(水表!$C:$C,水表!$B:$B,M$3,水表!$A:$A,$B46)</f>
        <v>2</v>
      </c>
      <c r="N46" s="51">
        <f>SUMIFS(水表!$C:$C,水表!$B:$B,N$3,水表!$A:$A,$B46)</f>
        <v>-1910.22</v>
      </c>
      <c r="O46" s="52">
        <f t="shared" ref="O46" si="93">IF(SUM(K46:M46)&lt;=0,0,SUM(K46:N46)-SUM(K45:N45))</f>
        <v>197.25</v>
      </c>
      <c r="P46" s="46">
        <f>SUMIFS(水表!$D:$D,水表!$B:$B,K$3,水表!$A:$A,B46)</f>
        <v>7.4940277999999996</v>
      </c>
      <c r="Q46" s="52">
        <f t="shared" ref="Q46" si="94">ROUND(O46*P46,2)</f>
        <v>1478.2</v>
      </c>
      <c r="R46" s="51">
        <f>SUMIFS(电表!$C:$C,电表!$B:$B,R$3,电表!$A:$A,$B46)</f>
        <v>10193</v>
      </c>
      <c r="S46" s="51">
        <f>SUMIFS(电表!$C:$C,电表!$B:$B,S$3,电表!$A:$A,$B46)</f>
        <v>160281.56000000003</v>
      </c>
      <c r="T46" s="52">
        <f t="shared" ref="T46" si="95">IF(SUM(R46)&lt;=0,0,(R46-R45)*R$4+(S46-S45)*S$4)</f>
        <v>15261.51999999999</v>
      </c>
      <c r="U46" s="51">
        <f t="shared" ref="U46" si="96">+I46</f>
        <v>1.0306587</v>
      </c>
      <c r="V46" s="52">
        <f t="shared" ref="V46" si="97">ROUND(T46*U46,2)</f>
        <v>15729.42</v>
      </c>
      <c r="W46" s="51">
        <f>SUMIFS(水表!$C:$C,水表!$B:$B,W$3,水表!$A:$A,$B46)</f>
        <v>1957</v>
      </c>
      <c r="X46" s="51">
        <f>SUMIFS(水表!$C:$C,水表!$B:$B,X$3,水表!$A:$A,$B46)</f>
        <v>0</v>
      </c>
      <c r="Y46" s="51">
        <f>SUMIFS(水表!$C:$C,水表!$B:$B,Y$3,水表!$A:$A,$B46)</f>
        <v>1910.22</v>
      </c>
      <c r="Z46" s="52">
        <f t="shared" ref="Z46" si="98">IF(SUM(W46:X46)&lt;=0,0,SUM(W46:Y46)-SUM(W45:Y45))</f>
        <v>107.75</v>
      </c>
      <c r="AA46" s="51">
        <f t="shared" ref="AA46" si="99">+P46</f>
        <v>7.4940277999999996</v>
      </c>
      <c r="AB46" s="52">
        <f t="shared" ref="AB46" si="100">ROUND(Z46*AA46,2)</f>
        <v>807.48</v>
      </c>
    </row>
    <row r="47" spans="1:28" ht="18.75" customHeight="1" x14ac:dyDescent="0.2">
      <c r="A47" s="43">
        <f t="shared" si="50"/>
        <v>46143</v>
      </c>
      <c r="B47" s="43">
        <f t="shared" si="3"/>
        <v>46174</v>
      </c>
      <c r="C47" s="51">
        <f>SUMIFS(电表!$C:$C,电表!$B:$B,C$3,电表!$A:$A,$B47)</f>
        <v>2640</v>
      </c>
      <c r="D47" s="51">
        <f>SUMIFS(电表!$C:$C,电表!$B:$B,D$3,电表!$A:$A,$B47)</f>
        <v>6782</v>
      </c>
      <c r="E47" s="51">
        <f>SUMIFS(电表!$C:$C,电表!$B:$B,E$3,电表!$A:$A,$B47)</f>
        <v>618</v>
      </c>
      <c r="F47" s="51">
        <f>SUMIFS(电表!$C:$C,电表!$B:$B,F$3,电表!$A:$A,$B47)</f>
        <v>-100</v>
      </c>
      <c r="G47" s="51">
        <f>SUMIFS(电表!$C:$C,电表!$B:$B,G$3,电表!$A:$A,$B47)</f>
        <v>-160281.56000000003</v>
      </c>
      <c r="H47" s="52">
        <f t="shared" ref="H47" si="101">IF(SUM(C47:E47)&lt;=0,0,(C47-C46)*C$4+(D47-D46)*D$4+(E47-E46)*E$4+(F47-F46)*F$4+(G47-G46)*G$4)</f>
        <v>28680</v>
      </c>
      <c r="I47" s="51">
        <f>SUMIFS(电表!$D:$D,电表!$B:$B,C$3,电表!$A:$A,$B47)</f>
        <v>1.1317307999999999</v>
      </c>
      <c r="J47" s="52">
        <f t="shared" ref="J47" si="102">ROUND(H47*I47,2)</f>
        <v>32458.04</v>
      </c>
      <c r="K47" s="51">
        <f>SUMIFS(水表!$C:$C,水表!$B:$B,K$3,水表!$A:$A,$B47)</f>
        <v>10067</v>
      </c>
      <c r="L47" s="51">
        <f>SUMIFS(水表!$C:$C,水表!$B:$B,L$3,水表!$A:$A,$B47)</f>
        <v>12</v>
      </c>
      <c r="M47" s="51">
        <f>SUMIFS(水表!$C:$C,水表!$B:$B,M$3,水表!$A:$A,$B47)</f>
        <v>2</v>
      </c>
      <c r="N47" s="51">
        <f>SUMIFS(水表!$C:$C,水表!$B:$B,N$3,水表!$A:$A,$B47)</f>
        <v>-1910.22</v>
      </c>
      <c r="O47" s="52">
        <f t="shared" ref="O47" si="103">IF(SUM(K47:M47)&lt;=0,0,SUM(K47:N47)-SUM(K46:N46))</f>
        <v>187</v>
      </c>
      <c r="P47" s="46">
        <f>SUMIFS(水表!$D:$D,水表!$B:$B,K$3,水表!$A:$A,B47)</f>
        <v>11.319849</v>
      </c>
      <c r="Q47" s="52">
        <f t="shared" ref="Q47" si="104">ROUND(O47*P47,2)</f>
        <v>2116.81</v>
      </c>
      <c r="R47" s="51">
        <f>SUMIFS(电表!$C:$C,电表!$B:$B,R$3,电表!$A:$A,$B47)</f>
        <v>10321</v>
      </c>
      <c r="S47" s="51">
        <f>SUMIFS(电表!$C:$C,电表!$B:$B,S$3,电表!$A:$A,$B47)</f>
        <v>160281.56000000003</v>
      </c>
      <c r="T47" s="52">
        <f t="shared" ref="T47" si="105">IF(SUM(R47)&lt;=0,0,(R47-R46)*R$4+(S47-S46)*S$4)</f>
        <v>10240</v>
      </c>
      <c r="U47" s="51">
        <f t="shared" ref="U47" si="106">+I47</f>
        <v>1.1317307999999999</v>
      </c>
      <c r="V47" s="52">
        <f t="shared" ref="V47" si="107">ROUND(T47*U47,2)</f>
        <v>11588.92</v>
      </c>
      <c r="W47" s="51">
        <f>SUMIFS(水表!$C:$C,水表!$B:$B,W$3,水表!$A:$A,$B47)</f>
        <v>1959</v>
      </c>
      <c r="X47" s="51">
        <f>SUMIFS(水表!$C:$C,水表!$B:$B,X$3,水表!$A:$A,$B47)</f>
        <v>0</v>
      </c>
      <c r="Y47" s="51">
        <f>SUMIFS(水表!$C:$C,水表!$B:$B,Y$3,水表!$A:$A,$B47)</f>
        <v>1910.22</v>
      </c>
      <c r="Z47" s="52">
        <f t="shared" ref="Z47" si="108">IF(SUM(W47:X47)&lt;=0,0,SUM(W47:Y47)-SUM(W46:Y46))</f>
        <v>2</v>
      </c>
      <c r="AA47" s="51">
        <f t="shared" ref="AA47" si="109">+P47</f>
        <v>11.319849</v>
      </c>
      <c r="AB47" s="52">
        <f t="shared" ref="AB47" si="110">ROUND(Z47*AA47,2)</f>
        <v>22.64</v>
      </c>
    </row>
  </sheetData>
  <autoFilter ref="B4:AB41" xr:uid="{B6C4AF5F-9A8F-41C2-8428-CD50DF5184A6}"/>
  <mergeCells count="25">
    <mergeCell ref="C1:Q1"/>
    <mergeCell ref="I3:I4"/>
    <mergeCell ref="H3:H4"/>
    <mergeCell ref="J3:J4"/>
    <mergeCell ref="C2:J2"/>
    <mergeCell ref="K2:Q2"/>
    <mergeCell ref="K3:K4"/>
    <mergeCell ref="L3:L4"/>
    <mergeCell ref="M3:M4"/>
    <mergeCell ref="N3:N4"/>
    <mergeCell ref="O3:O4"/>
    <mergeCell ref="P3:P4"/>
    <mergeCell ref="Q3:Q4"/>
    <mergeCell ref="R2:V2"/>
    <mergeCell ref="R1:Z1"/>
    <mergeCell ref="AB3:AB4"/>
    <mergeCell ref="W3:W4"/>
    <mergeCell ref="X3:X4"/>
    <mergeCell ref="Y3:Y4"/>
    <mergeCell ref="W2:Z2"/>
    <mergeCell ref="T3:T4"/>
    <mergeCell ref="U3:U4"/>
    <mergeCell ref="V3:V4"/>
    <mergeCell ref="Z3:Z4"/>
    <mergeCell ref="AA3:AA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BCBE37-4CF5-49C0-92FE-B44D83C6D2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电表</vt:lpstr>
      <vt:lpstr>水表</vt:lpstr>
      <vt:lpstr>倍率</vt:lpstr>
      <vt:lpstr>祺富单证</vt:lpstr>
      <vt:lpstr>吉众单证</vt:lpstr>
      <vt:lpstr>合计单证</vt:lpstr>
      <vt:lpstr>合并记录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ashan</dc:creator>
  <cp:keywords/>
  <dc:description/>
  <cp:lastModifiedBy>山 阿</cp:lastModifiedBy>
  <cp:revision/>
  <cp:lastPrinted>2026-08-05T04:58:56Z</cp:lastPrinted>
  <dcterms:created xsi:type="dcterms:W3CDTF">2015-06-05T18:19:34Z</dcterms:created>
  <dcterms:modified xsi:type="dcterms:W3CDTF">2026-08-05T13:20:04Z</dcterms:modified>
  <cp:category/>
  <cp:contentStatus/>
</cp:coreProperties>
</file>